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Cohorts" sheetId="3" state="visible" r:id="rId5"/>
    <sheet name="P&amp;L" sheetId="4" state="visible" r:id="rId6"/>
    <sheet name="Cash Flow" sheetId="5" state="visible" r:id="rId7"/>
    <sheet name="Unit Economics" sheetId="6" state="visible" r:id="rId8"/>
    <sheet name="Dashbo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<sst xmlns="http://schemas.openxmlformats.org/spreadsheetml/2006/main" count="566" uniqueCount="336">
  <si>
    <t xml:space="preserve">INVOICE CHASER — SaaS Financial Model</t>
  </si>
  <si>
    <t xml:space="preserve">Automated invoice follow-up for French auto-entrepreneurs · 36-month monthly build</t>
  </si>
  <si>
    <t xml:space="preserve">HOW TO USE THIS MODEL</t>
  </si>
  <si>
    <t xml:space="preserve">Change one cell to re-run</t>
  </si>
  <si>
    <t xml:space="preserve">Assumptions!B5 is the scenario switch. Enter 1 (Conservative), 2 (Base) or 3 (Aggressive). Every sheet recalculates from it. Example: set B5 = 3 and the Dashboard repoints to the Aggressive case.</t>
  </si>
  <si>
    <t xml:space="preserve">Change the drivers</t>
  </si>
  <si>
    <t xml:space="preserve">On Assumptions, edit columns C, D and E (the three scenario columns). Column F is the LIVE column — it is a formula, do not type over it. Everything downstream reads column F only.</t>
  </si>
  <si>
    <t xml:space="preserve">Nothing else is an input</t>
  </si>
  <si>
    <t xml:space="preserve">Cohorts, P&amp;L, Cash Flow, Unit Economics and Dashboard are 100% formula-driven. If you need to change a number, change it on Assumptions.</t>
  </si>
  <si>
    <t xml:space="preserve">COLOUR LEGEND</t>
  </si>
  <si>
    <t xml:space="preserve">Blue text</t>
  </si>
  <si>
    <t xml:space="preserve">Hardcoded input. Safe to edit.</t>
  </si>
  <si>
    <t xml:space="preserve">Yellow fill</t>
  </si>
  <si>
    <t xml:space="preserve">Key lever — the cells worth stress-testing first.</t>
  </si>
  <si>
    <t xml:space="preserve">Black text</t>
  </si>
  <si>
    <t xml:space="preserve">Formula. Do not overwrite.</t>
  </si>
  <si>
    <t xml:space="preserve">Green text</t>
  </si>
  <si>
    <t xml:space="preserve">Link to another sheet. Do not overwrite.</t>
  </si>
  <si>
    <t xml:space="preserve">SHEET MAP</t>
  </si>
  <si>
    <t xml:space="preserve">Assumptions</t>
  </si>
  <si>
    <t xml:space="preserve">All drivers, three scenarios side by side, plus a derived block (ARPU, blended churn, implied lifetime).</t>
  </si>
  <si>
    <t xml:space="preserve">Cohorts</t>
  </si>
  <si>
    <t xml:space="preserve">Acquisition funnel, then two 36x36 cohort waterfalls — one for monthly plans (constant monthly churn), one for annual plans (no churn inside the committed year, renewal decision at each 12-month anniversary).</t>
  </si>
  <si>
    <t xml:space="preserve">P&amp;L</t>
  </si>
  <si>
    <t xml:space="preserve">Billings vs recognised revenue, cost of revenue, gross margin, opex, EBITDA.</t>
  </si>
  <si>
    <t xml:space="preserve">Cash Flow</t>
  </si>
  <si>
    <t xml:space="preserve">Cash walk plus a deferred revenue rollforward for annual prepayments, and an integrity check row.</t>
  </si>
  <si>
    <t xml:space="preserve">Unit Economics</t>
  </si>
  <si>
    <t xml:space="preserve">LTV, CAC (paid and blended), payback, LTV:CAC, and two sensitivity grids.</t>
  </si>
  <si>
    <t xml:space="preserve">Dashboard</t>
  </si>
  <si>
    <t xml:space="preserve">Headline outputs, breakeven months, funding requirement, NPV, and two charts.</t>
  </si>
  <si>
    <t xml:space="preserve">HOW THE ANNUAL PLAN IS MODELLED</t>
  </si>
  <si>
    <t xml:space="preserve">Why it matters</t>
  </si>
  <si>
    <t xml:space="preserve">Annual prepayment is the single biggest cash lever a low-ticket SaaS has. Ignoring it overstates the funding gap; treating cash as revenue overstates the P&amp;L. This model separates the two.</t>
  </si>
  <si>
    <t xml:space="preserve">Billings</t>
  </si>
  <si>
    <t xml:space="preserve">An annual customer is charged 10x the monthly price upfront (2 months free) in their cohort month, and again at each anniversary if they renew.</t>
  </si>
  <si>
    <t xml:space="preserve">Revenue</t>
  </si>
  <si>
    <t xml:space="preserve">Recognised straight-line: 10/12 of the monthly price, each month, for 12 months.</t>
  </si>
  <si>
    <t xml:space="preserve">The difference</t>
  </si>
  <si>
    <t xml:space="preserve">Sits in deferred revenue on the Cash Flow sheet. Cash Flow row 22 checks that Net cash flow − EBITDA − Δdeferred = 0 in every month. It must read zero across the row.</t>
  </si>
  <si>
    <t xml:space="preserve">HEALTH WARNING ON THE NUMBERS</t>
  </si>
  <si>
    <t xml:space="preserve">These are benchmarks, not evidence</t>
  </si>
  <si>
    <t xml:space="preserve">Every operating assumption here is a placeholder drawn from typical low-ticket, self-serve B2B SaaS ranges. None of it is observed data for this product. The model is a decision framework, not a forecast.</t>
  </si>
  <si>
    <t xml:space="preserve">The three that decide the business</t>
  </si>
  <si>
    <t xml:space="preserve">Monthly churn, trial-to-paid conversion, and blended CPC. The Unit Economics sensitivity grids show that the verdict flips inside plausible ranges of these three — so they are what validation has to resolve first.</t>
  </si>
  <si>
    <t xml:space="preserve">Cheapest way to test them</t>
  </si>
  <si>
    <t xml:space="preserve">Churn and conversion need a landing page and ~20 customer conversations, not a spreadsheet. CPC can be read off a €200 test campaign in a week. Do that before trusting any output on the Dashboard.</t>
  </si>
  <si>
    <t xml:space="preserve">Not modelled</t>
  </si>
  <si>
    <t xml:space="preserve">VAT/TVA treatment, corporate tax, any founder opportunity cost beyond the salary line, and competitive response. Add them before this goes in front of anyone external.</t>
  </si>
  <si>
    <t xml:space="preserve">ASSUMPTIONS &amp; SCENARIO DRIVERS</t>
  </si>
  <si>
    <t xml:space="preserve">Edit columns C–E only. Column F is the live selection and feeds every other sheet.</t>
  </si>
  <si>
    <t xml:space="preserve">Scenario switch  (1 = Conservative, 2 = Base, 3 = Aggressive)</t>
  </si>
  <si>
    <t xml:space="preserve">Active scenario</t>
  </si>
  <si>
    <t xml:space="preserve">Conservative</t>
  </si>
  <si>
    <t xml:space="preserve">Base</t>
  </si>
  <si>
    <t xml:space="preserve">Aggressive</t>
  </si>
  <si>
    <t xml:space="preserve">Driver</t>
  </si>
  <si>
    <t xml:space="preserve">Unit</t>
  </si>
  <si>
    <t xml:space="preserve">LIVE</t>
  </si>
  <si>
    <t xml:space="preserve">Basis / how to validate</t>
  </si>
  <si>
    <t xml:space="preserve">PRICING &amp; PLANS</t>
  </si>
  <si>
    <t xml:space="preserve">Solo plan price</t>
  </si>
  <si>
    <t xml:space="preserve">€ / month</t>
  </si>
  <si>
    <t xml:space="preserve">Placeholder. Anchored below what a comptable charges for the same chasing. Validate with pricing interviews.</t>
  </si>
  <si>
    <t xml:space="preserve">Pro plan price</t>
  </si>
  <si>
    <t xml:space="preserve">Placeholder. Pro = multi-client, custom sequences, reminders by SMS.</t>
  </si>
  <si>
    <t xml:space="preserve">Pro plan share of customers</t>
  </si>
  <si>
    <t xml:space="preserve">% of customers</t>
  </si>
  <si>
    <t xml:space="preserve">Placeholder. Share of base on the higher tier.</t>
  </si>
  <si>
    <t xml:space="preserve">Annual plan share of new customers</t>
  </si>
  <si>
    <t xml:space="preserve">% of new</t>
  </si>
  <si>
    <t xml:space="preserve">Key cash lever. Self-serve SaaS at this price point rarely pushes past ~25% annual without a hard discount.</t>
  </si>
  <si>
    <t xml:space="preserve">Annual plan — months free vs 12x monthly</t>
  </si>
  <si>
    <t xml:space="preserve">months</t>
  </si>
  <si>
    <t xml:space="preserve">Standard 2-months-free annual offer, i.e. pay for 10, get 12.</t>
  </si>
  <si>
    <t xml:space="preserve">ACQUISITION</t>
  </si>
  <si>
    <t xml:space="preserve">Paid marketing spend, month 1</t>
  </si>
  <si>
    <t xml:space="preserve">Founder-funded test budget in month 1.</t>
  </si>
  <si>
    <t xml:space="preserve">Paid spend growth</t>
  </si>
  <si>
    <t xml:space="preserve">% / month</t>
  </si>
  <si>
    <t xml:space="preserve">Reinvestment pace. Deliberately slow — spend is capped below.</t>
  </si>
  <si>
    <t xml:space="preserve">Paid spend ceiling</t>
  </si>
  <si>
    <t xml:space="preserve">Ceiling. Reflects a genuinely narrow niche — French micro-entrepreneurs searching for invoice chasing. The addressable paid inventory runs out.</t>
  </si>
  <si>
    <t xml:space="preserve">Blended cost per click</t>
  </si>
  <si>
    <t xml:space="preserve">€</t>
  </si>
  <si>
    <t xml:space="preserve">Key lever. Placeholder for French-language Google/Meta on low-competition long-tail terms. Testable for ~€200 in one week — do this first.</t>
  </si>
  <si>
    <t xml:space="preserve">Landing page → free trial</t>
  </si>
  <si>
    <t xml:space="preserve">%</t>
  </si>
  <si>
    <t xml:space="preserve">Placeholder. Typical range for a self-serve tool with a clear single job-to-be-done.</t>
  </si>
  <si>
    <t xml:space="preserve">Free trial → paid</t>
  </si>
  <si>
    <t xml:space="preserve">Key lever. Trial-to-paid for no-credit-card self-serve trials. Drives CAC almost as hard as CPC.</t>
  </si>
  <si>
    <t xml:space="preserve">Organic trials, month 1</t>
  </si>
  <si>
    <t xml:space="preserve">trials</t>
  </si>
  <si>
    <t xml:space="preserve">Content/SEO and community (forums, LinkedIn, auto-entrepreneur groups). Zero marginal cost, slow to build.</t>
  </si>
  <si>
    <t xml:space="preserve">Organic trial growth</t>
  </si>
  <si>
    <t xml:space="preserve">Compounding content effect.</t>
  </si>
  <si>
    <t xml:space="preserve">Organic trial ceiling</t>
  </si>
  <si>
    <t xml:space="preserve">trials / month</t>
  </si>
  <si>
    <t xml:space="preserve">Ceiling. Organic demand for this niche is finite.</t>
  </si>
  <si>
    <t xml:space="preserve">Referral trials per active customer</t>
  </si>
  <si>
    <t xml:space="preserve">/ month</t>
  </si>
  <si>
    <t xml:space="preserve">Word of mouth. Freelancers talk, but they are not a dense network.</t>
  </si>
  <si>
    <t xml:space="preserve">RETENTION</t>
  </si>
  <si>
    <t xml:space="preserve">Monthly-plan gross churn</t>
  </si>
  <si>
    <t xml:space="preserve">Single most important assumption. High by SaaS standards because the customer base itself churns — micro-entrepreneurs deregister, go salaried, or stop invoicing. This is not a product-quality number.</t>
  </si>
  <si>
    <t xml:space="preserve">Annual-plan renewal rate at each anniversary</t>
  </si>
  <si>
    <t xml:space="preserve">Applied once every 12 months. Annual customers cannot churn mid-commitment.</t>
  </si>
  <si>
    <t xml:space="preserve">COST OF REVENUE</t>
  </si>
  <si>
    <t xml:space="preserve">Infrastructure &amp; automation per customer</t>
  </si>
  <si>
    <t xml:space="preserve">€ / cust / month</t>
  </si>
  <si>
    <t xml:space="preserve">n8n execution volume, storage, API calls. Falls with scale as fixed capacity is absorbed.</t>
  </si>
  <si>
    <t xml:space="preserve">Email &amp; messaging per customer</t>
  </si>
  <si>
    <t xml:space="preserve">Transactional email volume — each customer sends multiple reminder sequences per month.</t>
  </si>
  <si>
    <t xml:space="preserve">Support cost per customer</t>
  </si>
  <si>
    <t xml:space="preserve">Founder time costed at a notional rate. At €9/month, support is what kills the margin — watch this line.</t>
  </si>
  <si>
    <t xml:space="preserve">Payment processing — % of billings</t>
  </si>
  <si>
    <t xml:space="preserve">Stripe standard European card rate. Verify against current Stripe pricing before relying on it.</t>
  </si>
  <si>
    <t xml:space="preserve">Payment processing — fee per transaction</t>
  </si>
  <si>
    <t xml:space="preserve">Stripe per-transaction fee. This is why annual billing helps margin, not just cash — one charge, not twelve.</t>
  </si>
  <si>
    <t xml:space="preserve">Fixed platform cost</t>
  </si>
  <si>
    <t xml:space="preserve">n8n cloud plan, hosting baseline, domain. Does not scale with customers.</t>
  </si>
  <si>
    <t xml:space="preserve">OPERATING EXPENSES</t>
  </si>
  <si>
    <t xml:space="preserve">Founder compensation once drawn</t>
  </si>
  <si>
    <t xml:space="preserve">Set by you. Note this is a side project — the real cost is hours, not euros, until this line switches on.</t>
  </si>
  <si>
    <t xml:space="preserve">First month founder is paid</t>
  </si>
  <si>
    <t xml:space="preserve">month #</t>
  </si>
  <si>
    <t xml:space="preserve">Key lever. The month the business stops being free to run. Moving this earlier is the fastest way to break the cash line.</t>
  </si>
  <si>
    <t xml:space="preserve">Tools &amp; software</t>
  </si>
  <si>
    <t xml:space="preserve">Stripe dashboard extras, analytics, design, hosting for the marketing site.</t>
  </si>
  <si>
    <t xml:space="preserve">Legal, accounting &amp; admin</t>
  </si>
  <si>
    <t xml:space="preserve">Accountant, company admin, CGU/RGPD review. RGPD matters here — the product touches client contact data.</t>
  </si>
  <si>
    <t xml:space="preserve">Fixed opex inflation</t>
  </si>
  <si>
    <t xml:space="preserve">Applied to tools and admin only. ~6% annualised.</t>
  </si>
  <si>
    <t xml:space="preserve">FINANCING &amp; VALUATION</t>
  </si>
  <si>
    <t xml:space="preserve">Opening cash (founder contribution)</t>
  </si>
  <si>
    <t xml:space="preserve">Set by you. The model tells you whether this is enough.</t>
  </si>
  <si>
    <t xml:space="preserve">Discount rate</t>
  </si>
  <si>
    <t xml:space="preserve">% / year</t>
  </si>
  <si>
    <t xml:space="preserve">Pre-revenue, single-founder, unvalidated demand. High rate is doing real work here, not decoration.</t>
  </si>
  <si>
    <t xml:space="preserve">DERIVED  (calculated — do not edit)</t>
  </si>
  <si>
    <t xml:space="preserve">Blended list price — monthly plan</t>
  </si>
  <si>
    <t xml:space="preserve">Weighted by Pro mix.</t>
  </si>
  <si>
    <t xml:space="preserve">Effective ARPU — annual plan</t>
  </si>
  <si>
    <t xml:space="preserve">Recognised straight-line over 12 months after the 2-months-free discount.</t>
  </si>
  <si>
    <t xml:space="preserve">Blended ARPU — all plans</t>
  </si>
  <si>
    <t xml:space="preserve">Used for LTV.</t>
  </si>
  <si>
    <t xml:space="preserve">Annual plan — cash charged upfront</t>
  </si>
  <si>
    <t xml:space="preserve">Billed in the cohort month and at each renewal.</t>
  </si>
  <si>
    <t xml:space="preserve">Annual plan — monthly-equivalent churn</t>
  </si>
  <si>
    <t xml:space="preserve">Anniversary renewal rate expressed as an equivalent constant monthly rate, for the blend below.</t>
  </si>
  <si>
    <t xml:space="preserve">Blended monthly churn</t>
  </si>
  <si>
    <t xml:space="preserve">Weighted by plan mix. This is the churn that drives LTV.</t>
  </si>
  <si>
    <t xml:space="preserve">Implied average customer lifetime</t>
  </si>
  <si>
    <t xml:space="preserve">1 / blended churn.</t>
  </si>
  <si>
    <t xml:space="preserve">Paid CAC (from funnel maths)</t>
  </si>
  <si>
    <t xml:space="preserve">CPC / (signup rate x trial-to-paid). Cost to buy one paying customer through paid channels.</t>
  </si>
  <si>
    <t xml:space="preserve">Monthly discount rate</t>
  </si>
  <si>
    <t xml:space="preserve">Annual rate de-annualised for the monthly NPV.</t>
  </si>
  <si>
    <t xml:space="preserve">COHORT ENGINE</t>
  </si>
  <si>
    <t xml:space="preserve">Acquisition funnel, then customer waterfalls by cohort. Monthly plans churn every month; annual plans are locked for 12 and face a renewal decision at each anniversary.</t>
  </si>
  <si>
    <t xml:space="preserve">Month index</t>
  </si>
  <si>
    <t xml:space="preserve">#</t>
  </si>
  <si>
    <t xml:space="preserve">ACQUISITION FUNNEL</t>
  </si>
  <si>
    <t xml:space="preserve">Paid marketing spend</t>
  </si>
  <si>
    <t xml:space="preserve">Paid visitors</t>
  </si>
  <si>
    <t xml:space="preserve">Paid trials</t>
  </si>
  <si>
    <t xml:space="preserve">Organic trials</t>
  </si>
  <si>
    <t xml:space="preserve">Referral trials</t>
  </si>
  <si>
    <t xml:space="preserve">Total trials</t>
  </si>
  <si>
    <t xml:space="preserve">New paying customers</t>
  </si>
  <si>
    <t xml:space="preserve">    — new on monthly plan</t>
  </si>
  <si>
    <t xml:space="preserve">    — new on annual plan</t>
  </si>
  <si>
    <t xml:space="preserve">ACTIVE CUSTOMERS</t>
  </si>
  <si>
    <t xml:space="preserve">Monthly-plan customers (closing)</t>
  </si>
  <si>
    <t xml:space="preserve">Annual-plan customers (closing)</t>
  </si>
  <si>
    <t xml:space="preserve">Total active customers (closing)</t>
  </si>
  <si>
    <t xml:space="preserve">Total active customers (opening)</t>
  </si>
  <si>
    <t xml:space="preserve">Annual plans billed this month</t>
  </si>
  <si>
    <t xml:space="preserve">New annual sign-ups plus the cohorts hitting their 12- and 24-month anniversary (post-renewal count).</t>
  </si>
  <si>
    <t xml:space="preserve">COHORT WATERFALL — MONTHLY PLAN  (active customers)</t>
  </si>
  <si>
    <t xml:space="preserve">Cohort ↓ / Month →</t>
  </si>
  <si>
    <t xml:space="preserve">Cohort M1</t>
  </si>
  <si>
    <t xml:space="preserve">Cohort M2</t>
  </si>
  <si>
    <t xml:space="preserve">Cohort M3</t>
  </si>
  <si>
    <t xml:space="preserve">Cohort M4</t>
  </si>
  <si>
    <t xml:space="preserve">Cohort M5</t>
  </si>
  <si>
    <t xml:space="preserve">Cohort M6</t>
  </si>
  <si>
    <t xml:space="preserve">Cohort M7</t>
  </si>
  <si>
    <t xml:space="preserve">Cohort M8</t>
  </si>
  <si>
    <t xml:space="preserve">Cohort M9</t>
  </si>
  <si>
    <t xml:space="preserve">Cohort M10</t>
  </si>
  <si>
    <t xml:space="preserve">Cohort M11</t>
  </si>
  <si>
    <t xml:space="preserve">Cohort M12</t>
  </si>
  <si>
    <t xml:space="preserve">Cohort M13</t>
  </si>
  <si>
    <t xml:space="preserve">Cohort M14</t>
  </si>
  <si>
    <t xml:space="preserve">Cohort M15</t>
  </si>
  <si>
    <t xml:space="preserve">Cohort M16</t>
  </si>
  <si>
    <t xml:space="preserve">Cohort M17</t>
  </si>
  <si>
    <t xml:space="preserve">Cohort M18</t>
  </si>
  <si>
    <t xml:space="preserve">Cohort M19</t>
  </si>
  <si>
    <t xml:space="preserve">Cohort M20</t>
  </si>
  <si>
    <t xml:space="preserve">Cohort M21</t>
  </si>
  <si>
    <t xml:space="preserve">Cohort M22</t>
  </si>
  <si>
    <t xml:space="preserve">Cohort M23</t>
  </si>
  <si>
    <t xml:space="preserve">Cohort M24</t>
  </si>
  <si>
    <t xml:space="preserve">Cohort M25</t>
  </si>
  <si>
    <t xml:space="preserve">Cohort M26</t>
  </si>
  <si>
    <t xml:space="preserve">Cohort M27</t>
  </si>
  <si>
    <t xml:space="preserve">Cohort M28</t>
  </si>
  <si>
    <t xml:space="preserve">Cohort M29</t>
  </si>
  <si>
    <t xml:space="preserve">Cohort M30</t>
  </si>
  <si>
    <t xml:space="preserve">Cohort M31</t>
  </si>
  <si>
    <t xml:space="preserve">Cohort M32</t>
  </si>
  <si>
    <t xml:space="preserve">Cohort M33</t>
  </si>
  <si>
    <t xml:space="preserve">Cohort M34</t>
  </si>
  <si>
    <t xml:space="preserve">Cohort M35</t>
  </si>
  <si>
    <t xml:space="preserve">Cohort M36</t>
  </si>
  <si>
    <t xml:space="preserve">COHORT WATERFALL — ANNUAL PLAN  (active customers)</t>
  </si>
  <si>
    <t xml:space="preserve">PROFIT &amp; LOSS</t>
  </si>
  <si>
    <t xml:space="preserve">Billings are cash charged. Revenue is recognised. They differ by the annual prepayment — the gap is tracked on Cash Flow.</t>
  </si>
  <si>
    <t xml:space="preserve">BILLINGS  (cash charged to the customer)</t>
  </si>
  <si>
    <t xml:space="preserve">Monthly-plan customers billed</t>
  </si>
  <si>
    <t xml:space="preserve">Annual plans billed</t>
  </si>
  <si>
    <t xml:space="preserve">Monthly-plan billings</t>
  </si>
  <si>
    <t xml:space="preserve">Annual-plan billings</t>
  </si>
  <si>
    <t xml:space="preserve">Total billings</t>
  </si>
  <si>
    <t xml:space="preserve">Card transactions</t>
  </si>
  <si>
    <t xml:space="preserve">REVENUE  (recognised)</t>
  </si>
  <si>
    <t xml:space="preserve">Monthly-plan subscription revenue</t>
  </si>
  <si>
    <t xml:space="preserve">Annual-plan subscription revenue</t>
  </si>
  <si>
    <t xml:space="preserve">Total revenue  (= MRR)</t>
  </si>
  <si>
    <t xml:space="preserve">ARR (run-rate)</t>
  </si>
  <si>
    <t xml:space="preserve">Revenue growth MoM</t>
  </si>
  <si>
    <t xml:space="preserve">Infrastructure &amp; automation</t>
  </si>
  <si>
    <t xml:space="preserve">Email &amp; messaging</t>
  </si>
  <si>
    <t xml:space="preserve">Customer support</t>
  </si>
  <si>
    <t xml:space="preserve">Payment processing</t>
  </si>
  <si>
    <t xml:space="preserve">Total cost of revenue</t>
  </si>
  <si>
    <t xml:space="preserve">Gross profit</t>
  </si>
  <si>
    <t xml:space="preserve">Gross margin</t>
  </si>
  <si>
    <t xml:space="preserve">Paid marketing</t>
  </si>
  <si>
    <t xml:space="preserve">Founder compensation</t>
  </si>
  <si>
    <t xml:space="preserve">Total operating expenses</t>
  </si>
  <si>
    <t xml:space="preserve">EBITDA</t>
  </si>
  <si>
    <t xml:space="preserve">EBITDA margin</t>
  </si>
  <si>
    <t xml:space="preserve">Cumulative EBITDA</t>
  </si>
  <si>
    <t xml:space="preserve">MEMO</t>
  </si>
  <si>
    <t xml:space="preserve">Month flag — EBITDA positive</t>
  </si>
  <si>
    <t xml:space="preserve">9999 = not yet positive. Dashboard takes the MIN of this row.</t>
  </si>
  <si>
    <t xml:space="preserve">CASH FLOW &amp; DEFERRED REVENUE</t>
  </si>
  <si>
    <t xml:space="preserve">Card payments are collected on charge, so collections equal billings. The gap between cash and EBITDA is the annual prepayment, and it is checked every month.</t>
  </si>
  <si>
    <t xml:space="preserve">CASH WALK</t>
  </si>
  <si>
    <t xml:space="preserve">Opening cash</t>
  </si>
  <si>
    <t xml:space="preserve">Collections (= total billings)</t>
  </si>
  <si>
    <t xml:space="preserve">Cost of revenue paid</t>
  </si>
  <si>
    <t xml:space="preserve">Operating expenses paid</t>
  </si>
  <si>
    <t xml:space="preserve">Net cash flow</t>
  </si>
  <si>
    <t xml:space="preserve">Closing cash</t>
  </si>
  <si>
    <t xml:space="preserve">DEFERRED REVENUE ROLLFORWARD  (annual prepayments)</t>
  </si>
  <si>
    <t xml:space="preserve">Opening deferred revenue</t>
  </si>
  <si>
    <t xml:space="preserve">Annual billings received</t>
  </si>
  <si>
    <t xml:space="preserve">Recognised into revenue</t>
  </si>
  <si>
    <t xml:space="preserve">Closing deferred revenue</t>
  </si>
  <si>
    <t xml:space="preserve">INTEGRITY CHECK</t>
  </si>
  <si>
    <t xml:space="preserve">Δ deferred revenue</t>
  </si>
  <si>
    <t xml:space="preserve">Check: net cash − EBITDA − Δdeferred</t>
  </si>
  <si>
    <t xml:space="preserve">Must be zero in every month. Any non-zero cell means the P&amp;L and the cash walk have come apart — stop and fix before reading anything else.</t>
  </si>
  <si>
    <t xml:space="preserve">Month flag — net cash flow positive</t>
  </si>
  <si>
    <t xml:space="preserve">UNIT ECONOMICS</t>
  </si>
  <si>
    <t xml:space="preserve">Steady-state economics on the live scenario, then two grids showing how fast the verdict changes.</t>
  </si>
  <si>
    <t xml:space="preserve">VALUE OF A CUSTOMER</t>
  </si>
  <si>
    <t xml:space="preserve">Blended ARPU</t>
  </si>
  <si>
    <t xml:space="preserve">Across monthly and annual plans.</t>
  </si>
  <si>
    <t xml:space="preserve">Gross margin (month 36, at scale)</t>
  </si>
  <si>
    <t xml:space="preserve">Taken at month 36 so fixed platform cost is spread over the mature base — not the month-1 margin.</t>
  </si>
  <si>
    <t xml:space="preserve">Gross profit per customer / month</t>
  </si>
  <si>
    <t xml:space="preserve">Average customer lifetime</t>
  </si>
  <si>
    <t xml:space="preserve">LTV</t>
  </si>
  <si>
    <t xml:space="preserve">Gross-profit LTV, undiscounted.</t>
  </si>
  <si>
    <t xml:space="preserve">COST OF A CUSTOMER</t>
  </si>
  <si>
    <t xml:space="preserve">Paid CAC (funnel maths)</t>
  </si>
  <si>
    <t xml:space="preserve">CPC / (signup rate x trial-to-paid). What the marginal paid customer costs.</t>
  </si>
  <si>
    <t xml:space="preserve">Total paid marketing, 36 months</t>
  </si>
  <si>
    <t xml:space="preserve">Total new customers, 36 months</t>
  </si>
  <si>
    <t xml:space="preserve">Blended CAC</t>
  </si>
  <si>
    <t xml:space="preserve">All marketing spend over all new customers, including the organic and referral ones that cost nothing. Flattering — quote paid CAC to anyone serious.</t>
  </si>
  <si>
    <t xml:space="preserve">VERDICT</t>
  </si>
  <si>
    <t xml:space="preserve">LTV : CAC — paid</t>
  </si>
  <si>
    <t xml:space="preserve">x</t>
  </si>
  <si>
    <t xml:space="preserve">The honest one. Below 3.0x, paid acquisition does not fund itself.</t>
  </si>
  <si>
    <t xml:space="preserve">LTV : CAC — blended</t>
  </si>
  <si>
    <t xml:space="preserve">Includes free channels.</t>
  </si>
  <si>
    <t xml:space="preserve">CAC payback — paid</t>
  </si>
  <si>
    <t xml:space="preserve">Months of gross profit to repay one paid customer. Must be comfortably below average lifetime (row 10) or the customer leaves before repaying.</t>
  </si>
  <si>
    <t xml:space="preserve">CAC payback — blended</t>
  </si>
  <si>
    <t xml:space="preserve">Profitable months after payback</t>
  </si>
  <si>
    <t xml:space="preserve">Average lifetime minus payback. This is the only window in which a customer actually makes money. Negative means the average customer leaves still owing you their acquisition cost.</t>
  </si>
  <si>
    <t xml:space="preserve">SENSITIVITY — LTV : CAC (paid)</t>
  </si>
  <si>
    <t xml:space="preserve">Blended monthly churn ↓  /  Trial-to-paid →</t>
  </si>
  <si>
    <t xml:space="preserve">Grid recomputes from the live ARPU, gross margin, CPC and signup rate. Green ≥ 3.0x, amber 2.0–3.0x, red &lt; 2.0x — the standard venture bar.</t>
  </si>
  <si>
    <t xml:space="preserve">SENSITIVITY — CAC payback (months, paid)</t>
  </si>
  <si>
    <t xml:space="preserve">Blended CPC ↓  /  Trial-to-paid →</t>
  </si>
  <si>
    <t xml:space="preserve">Compare every cell against average customer lifetime on row 10. Any cell above it means the customer churns before paying you back.</t>
  </si>
  <si>
    <t xml:space="preserve">DASHBOARD</t>
  </si>
  <si>
    <t xml:space="preserve">Headline outputs on the live scenario. Change Assumptions!B5 to switch case.</t>
  </si>
  <si>
    <t xml:space="preserve">SCALE AT MONTH 36</t>
  </si>
  <si>
    <t xml:space="preserve">Active customers</t>
  </si>
  <si>
    <t xml:space="preserve">MRR</t>
  </si>
  <si>
    <t xml:space="preserve">Month 36 MRR annualised.</t>
  </si>
  <si>
    <t xml:space="preserve">Total revenue, 36 months</t>
  </si>
  <si>
    <t xml:space="preserve">Total billings, 36 months</t>
  </si>
  <si>
    <t xml:space="preserve">Higher than revenue by the deferred balance still unearned at month 36.</t>
  </si>
  <si>
    <t xml:space="preserve">PROFITABILITY &amp; CASH</t>
  </si>
  <si>
    <t xml:space="preserve">Cumulative EBITDA, 36 months</t>
  </si>
  <si>
    <t xml:space="preserve">First EBITDA-positive month</t>
  </si>
  <si>
    <t xml:space="preserve">Accounting breakeven.</t>
  </si>
  <si>
    <t xml:space="preserve">First cash-flow-positive month</t>
  </si>
  <si>
    <t xml:space="preserve">Earlier than EBITDA breakeven, because annual customers pay before you earn it.</t>
  </si>
  <si>
    <t xml:space="preserve">Lowest cash balance</t>
  </si>
  <si>
    <t xml:space="preserve">Additional funding required</t>
  </si>
  <si>
    <t xml:space="preserve">Cash needed on top of the opening balance to avoid going negative. Zero means the opening contribution carries it.</t>
  </si>
  <si>
    <t xml:space="preserve">Closing cash, month 36</t>
  </si>
  <si>
    <t xml:space="preserve">Deferred revenue, month 36</t>
  </si>
  <si>
    <t xml:space="preserve">A liability. It is cash you hold but have not earned — do not read it as profit.</t>
  </si>
  <si>
    <t xml:space="preserve">Paid CAC</t>
  </si>
  <si>
    <t xml:space="preserve">LTV : CAC (paid)</t>
  </si>
  <si>
    <t xml:space="preserve">3.0x is the conventional bar. Below it, growth destroys value.</t>
  </si>
  <si>
    <t xml:space="preserve">CAC payback (paid)</t>
  </si>
  <si>
    <t xml:space="preserve">Months.</t>
  </si>
  <si>
    <t xml:space="preserve">Months. Payback above this line means the business never repays acquisition.</t>
  </si>
  <si>
    <t xml:space="preserve">The earning window per customer.</t>
  </si>
  <si>
    <t xml:space="preserve">VALUATION</t>
  </si>
  <si>
    <t xml:space="preserve">NPV of net cash flow, 36 months</t>
  </si>
  <si>
    <t xml:space="preserve">Discounted at the monthly equivalent of the scenario's annual rate. Excludes terminal value — a 36-month NPV alone will understate any business that is still compounding at month 36.</t>
  </si>
  <si>
    <t xml:space="preserve">Integrity check (must be 0)</t>
  </si>
  <si>
    <t xml:space="preserve">Sum of the monthly cash-to-EBITDA reconciliation. Anything other than zero invalidates the sheet.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</si>
</sst>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\€#,##0.00;&quot;(€&quot;#,##0.00\);\-"/>
    <numFmt numFmtId="167" formatCode="0.0%;\(0.0%\);\-"/>
    <numFmt numFmtId="168" formatCode="#,##0;\(#,##0\);\-"/>
    <numFmt numFmtId="169" formatCode="\€#,##0;&quot;(€&quot;#,##0\);\-"/>
    <numFmt numFmtId="170" formatCode="0.00%;\(0.00%\);\-"/>
    <numFmt numFmtId="171" formatCode="\€#,##0.000;&quot;(€&quot;#,##0.000\);\-"/>
    <numFmt numFmtId="172" formatCode="#,##0.0;\(#,##0.0\);\-"/>
    <numFmt numFmtId="173" formatCode="0.0\x"/>
    <numFmt numFmtId="174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7F7F7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8000"/>
      <name val="Calibri"/>
      <family val="0"/>
      <charset val="1"/>
    </font>
    <font>
      <sz val="10"/>
      <color rgb="FF7F7F7F"/>
      <name val="Calibri"/>
      <family val="0"/>
      <charset val="1"/>
    </font>
    <font>
      <b val="true"/>
      <sz val="11"/>
      <color rgb="FF31859C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EEBF0"/>
        <bgColor rgb="FFF2F2F2"/>
      </patternFill>
    </fill>
    <fill>
      <patternFill patternType="solid">
        <fgColor rgb="FFF2F2F2"/>
        <bgColor rgb="FFDEEB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/>
      <right/>
      <top style="thin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DEEB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MRR (€ /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'P&amp;L'!$C$5:$AL$5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'P&amp;L'!$C$18:$AL$18</c:f>
              <c:numCache>
                <c:formatCode>\€#,##0;"(€"#,##0\);\-</c:formatCode>
                <c:ptCount val="36"/>
                <c:pt idx="0">
                  <c:v>114.84</c:v>
                </c:pt>
                <c:pt idx="1">
                  <c:v>235.585372</c:v>
                </c:pt>
                <c:pt idx="2">
                  <c:v>363.1652850716</c:v>
                </c:pt>
                <c:pt idx="3">
                  <c:v>498.589148172772</c:v>
                </c:pt>
                <c:pt idx="4">
                  <c:v>642.956544547795</c:v>
                </c:pt>
                <c:pt idx="5">
                  <c:v>797.468221642271</c:v>
                </c:pt>
                <c:pt idx="6">
                  <c:v>963.438261509323</c:v>
                </c:pt>
                <c:pt idx="7">
                  <c:v>1142.30757101493</c:v>
                </c:pt>
                <c:pt idx="8">
                  <c:v>1335.65884717916</c:v>
                </c:pt>
                <c:pt idx="9">
                  <c:v>1545.23319091601</c:v>
                </c:pt>
                <c:pt idx="10">
                  <c:v>1772.94856248153</c:v>
                </c:pt>
                <c:pt idx="11">
                  <c:v>2020.92029435839</c:v>
                </c:pt>
                <c:pt idx="12">
                  <c:v>2285.54390237566</c:v>
                </c:pt>
                <c:pt idx="13">
                  <c:v>2574.71732357857</c:v>
                </c:pt>
                <c:pt idx="14">
                  <c:v>2891.23402158577</c:v>
                </c:pt>
                <c:pt idx="15">
                  <c:v>3238.18611902517</c:v>
                </c:pt>
                <c:pt idx="16">
                  <c:v>3618.99870940636</c:v>
                </c:pt>
                <c:pt idx="17">
                  <c:v>4037.46808407364</c:v>
                </c:pt>
                <c:pt idx="18">
                  <c:v>4497.80433246132</c:v>
                </c:pt>
                <c:pt idx="19">
                  <c:v>5004.67882766841</c:v>
                </c:pt>
                <c:pt idx="20">
                  <c:v>5563.27716954083</c:v>
                </c:pt>
                <c:pt idx="21">
                  <c:v>6179.3582247536</c:v>
                </c:pt>
                <c:pt idx="22">
                  <c:v>6859.31997867047</c:v>
                </c:pt>
                <c:pt idx="23">
                  <c:v>7610.27299797479</c:v>
                </c:pt>
                <c:pt idx="24">
                  <c:v>8435.96439727453</c:v>
                </c:pt>
                <c:pt idx="25">
                  <c:v>9348.9082861725</c:v>
                </c:pt>
                <c:pt idx="26">
                  <c:v>10358.8410344705</c:v>
                </c:pt>
                <c:pt idx="27">
                  <c:v>11408.9745526761</c:v>
                </c:pt>
                <c:pt idx="28">
                  <c:v>12451.5127559153</c:v>
                </c:pt>
                <c:pt idx="29">
                  <c:v>13490.0801073283</c:v>
                </c:pt>
                <c:pt idx="30">
                  <c:v>14528.3323725343</c:v>
                </c:pt>
                <c:pt idx="31">
                  <c:v>15569.9721486043</c:v>
                </c:pt>
                <c:pt idx="32">
                  <c:v>16618.7646696055</c:v>
                </c:pt>
                <c:pt idx="33">
                  <c:v>17635.4219733604</c:v>
                </c:pt>
                <c:pt idx="34">
                  <c:v>18604.3161460624</c:v>
                </c:pt>
                <c:pt idx="35">
                  <c:v>19527.2068524683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145012"/>
        <c:axId val="94019331"/>
      </c:lineChart>
      <c:catAx>
        <c:axId val="511450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19331"/>
        <c:crosses val="autoZero"/>
        <c:auto val="1"/>
        <c:lblAlgn val="ctr"/>
        <c:lblOffset val="100"/>
        <c:noMultiLvlLbl val="0"/>
      </c:catAx>
      <c:valAx>
        <c:axId val="940193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450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Closing cash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'P&amp;L'!$C$5:$AL$5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'Cash Flow'!$C$13:$AL$13</c:f>
              <c:numCache>
                <c:formatCode>\€#,##0;"(€"#,##0\);\-</c:formatCode>
                <c:ptCount val="36"/>
                <c:pt idx="0">
                  <c:v>4547.7504</c:v>
                </c:pt>
                <c:pt idx="1">
                  <c:v>4165.68604032</c:v>
                </c:pt>
                <c:pt idx="2">
                  <c:v>3856.9797857097</c:v>
                </c:pt>
                <c:pt idx="3">
                  <c:v>3625.49392271019</c:v>
                </c:pt>
                <c:pt idx="4">
                  <c:v>3475.8452319612</c:v>
                </c:pt>
                <c:pt idx="5">
                  <c:v>3413.4788844444</c:v>
                </c:pt>
                <c:pt idx="6">
                  <c:v>3444.752162404</c:v>
                </c:pt>
                <c:pt idx="7">
                  <c:v>3577.02912912139</c:v>
                </c:pt>
                <c:pt idx="8">
                  <c:v>3818.78750977735</c:v>
                </c:pt>
                <c:pt idx="9">
                  <c:v>4179.73920007915</c:v>
                </c:pt>
                <c:pt idx="10">
                  <c:v>4670.96599213654</c:v>
                </c:pt>
                <c:pt idx="11">
                  <c:v>5305.07230045447</c:v>
                </c:pt>
                <c:pt idx="12">
                  <c:v>3760.28108734978</c:v>
                </c:pt>
                <c:pt idx="13">
                  <c:v>2405.80590864961</c:v>
                </c:pt>
                <c:pt idx="14">
                  <c:v>1261.62035208505</c:v>
                </c:pt>
                <c:pt idx="15">
                  <c:v>350.225451985289</c:v>
                </c:pt>
                <c:pt idx="16">
                  <c:v>-303.057779281169</c:v>
                </c:pt>
                <c:pt idx="17">
                  <c:v>-669.76036297292</c:v>
                </c:pt>
                <c:pt idx="18">
                  <c:v>-717.89769534249</c:v>
                </c:pt>
                <c:pt idx="19">
                  <c:v>-411.557499004069</c:v>
                </c:pt>
                <c:pt idx="20">
                  <c:v>289.561902270119</c:v>
                </c:pt>
                <c:pt idx="21">
                  <c:v>1430.66890661905</c:v>
                </c:pt>
                <c:pt idx="22">
                  <c:v>3062.45818703352</c:v>
                </c:pt>
                <c:pt idx="23">
                  <c:v>5241.75990199136</c:v>
                </c:pt>
                <c:pt idx="24">
                  <c:v>8147.01382274284</c:v>
                </c:pt>
                <c:pt idx="25">
                  <c:v>11746.6767125882</c:v>
                </c:pt>
                <c:pt idx="26">
                  <c:v>16121.8828885838</c:v>
                </c:pt>
                <c:pt idx="27">
                  <c:v>21176.4005522503</c:v>
                </c:pt>
                <c:pt idx="28">
                  <c:v>26790.5366077651</c:v>
                </c:pt>
                <c:pt idx="29">
                  <c:v>32946.4826094802</c:v>
                </c:pt>
                <c:pt idx="30">
                  <c:v>39629.0319110576</c:v>
                </c:pt>
                <c:pt idx="31">
                  <c:v>46825.606538572</c:v>
                </c:pt>
                <c:pt idx="32">
                  <c:v>54526.3025889352</c:v>
                </c:pt>
                <c:pt idx="33">
                  <c:v>62942.6385401112</c:v>
                </c:pt>
                <c:pt idx="34">
                  <c:v>72149.5297286347</c:v>
                </c:pt>
                <c:pt idx="35">
                  <c:v>82128.4133646642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692499"/>
        <c:axId val="37261688"/>
      </c:lineChart>
      <c:catAx>
        <c:axId val="396924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261688"/>
        <c:crosses val="autoZero"/>
        <c:auto val="1"/>
        <c:lblAlgn val="ctr"/>
        <c:lblOffset val="100"/>
        <c:noMultiLvlLbl val="0"/>
      </c:catAx>
      <c:valAx>
        <c:axId val="37261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924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5</xdr:row>
      <xdr:rowOff>160560</xdr:rowOff>
    </xdr:from>
    <xdr:to>
      <xdr:col>15</xdr:col>
      <xdr:colOff>75960</xdr:colOff>
      <xdr:row>19</xdr:row>
      <xdr:rowOff>85320</xdr:rowOff>
    </xdr:to>
    <xdr:graphicFrame>
      <xdr:nvGraphicFramePr>
        <xdr:cNvPr id="0" name="Chart 1"/>
        <xdr:cNvGraphicFramePr/>
      </xdr:nvGraphicFramePr>
      <xdr:xfrm>
        <a:off x="10197360" y="114300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21</xdr:row>
      <xdr:rowOff>160560</xdr:rowOff>
    </xdr:from>
    <xdr:to>
      <xdr:col>15</xdr:col>
      <xdr:colOff>75960</xdr:colOff>
      <xdr:row>33</xdr:row>
      <xdr:rowOff>237600</xdr:rowOff>
    </xdr:to>
    <xdr:graphicFrame>
      <xdr:nvGraphicFramePr>
        <xdr:cNvPr id="1" name="Chart 2"/>
        <xdr:cNvGraphicFramePr/>
      </xdr:nvGraphicFramePr>
      <xdr:xfrm>
        <a:off x="10197360" y="427680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96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39" hidden="false" customHeight="true" outlineLevel="0" collapsed="false">
      <c r="B6" s="5" t="s">
        <v>3</v>
      </c>
      <c r="C6" s="6" t="s">
        <v>4</v>
      </c>
    </row>
    <row r="7" customFormat="false" ht="25.5" hidden="false" customHeight="true" outlineLevel="0" collapsed="false">
      <c r="B7" s="5" t="s">
        <v>5</v>
      </c>
      <c r="C7" s="6" t="s">
        <v>6</v>
      </c>
    </row>
    <row r="8" customFormat="false" ht="25.5" hidden="false" customHeight="true" outlineLevel="0" collapsed="false">
      <c r="B8" s="5" t="s">
        <v>7</v>
      </c>
      <c r="C8" s="6" t="s">
        <v>8</v>
      </c>
    </row>
    <row r="10" customFormat="false" ht="15" hidden="false" customHeight="false" outlineLevel="0" collapsed="false">
      <c r="B10" s="3" t="s">
        <v>9</v>
      </c>
      <c r="C10" s="4"/>
    </row>
    <row r="11" customFormat="false" ht="15" hidden="false" customHeight="true" outlineLevel="0" collapsed="false">
      <c r="B11" s="5" t="s">
        <v>10</v>
      </c>
      <c r="C11" s="6" t="s">
        <v>11</v>
      </c>
    </row>
    <row r="12" customFormat="false" ht="15" hidden="false" customHeight="true" outlineLevel="0" collapsed="false">
      <c r="B12" s="5" t="s">
        <v>12</v>
      </c>
      <c r="C12" s="6" t="s">
        <v>13</v>
      </c>
    </row>
    <row r="13" customFormat="false" ht="15" hidden="false" customHeight="true" outlineLevel="0" collapsed="false">
      <c r="B13" s="5" t="s">
        <v>14</v>
      </c>
      <c r="C13" s="6" t="s">
        <v>15</v>
      </c>
    </row>
    <row r="14" customFormat="false" ht="15" hidden="false" customHeight="true" outlineLevel="0" collapsed="false">
      <c r="B14" s="5" t="s">
        <v>16</v>
      </c>
      <c r="C14" s="6" t="s">
        <v>17</v>
      </c>
    </row>
    <row r="16" customFormat="false" ht="15" hidden="false" customHeight="false" outlineLevel="0" collapsed="false">
      <c r="B16" s="3" t="s">
        <v>18</v>
      </c>
      <c r="C16" s="4"/>
    </row>
    <row r="17" customFormat="false" ht="25.5" hidden="false" customHeight="true" outlineLevel="0" collapsed="false">
      <c r="B17" s="5" t="s">
        <v>19</v>
      </c>
      <c r="C17" s="6" t="s">
        <v>20</v>
      </c>
    </row>
    <row r="18" customFormat="false" ht="39" hidden="false" customHeight="true" outlineLevel="0" collapsed="false">
      <c r="B18" s="5" t="s">
        <v>21</v>
      </c>
      <c r="C18" s="6" t="s">
        <v>22</v>
      </c>
    </row>
    <row r="19" customFormat="false" ht="15" hidden="false" customHeight="true" outlineLevel="0" collapsed="false">
      <c r="B19" s="5" t="s">
        <v>23</v>
      </c>
      <c r="C19" s="6" t="s">
        <v>24</v>
      </c>
    </row>
    <row r="20" customFormat="false" ht="25.5" hidden="false" customHeight="true" outlineLevel="0" collapsed="false">
      <c r="B20" s="5" t="s">
        <v>25</v>
      </c>
      <c r="C20" s="6" t="s">
        <v>26</v>
      </c>
    </row>
    <row r="21" customFormat="false" ht="15" hidden="false" customHeight="true" outlineLevel="0" collapsed="false">
      <c r="B21" s="5" t="s">
        <v>27</v>
      </c>
      <c r="C21" s="6" t="s">
        <v>28</v>
      </c>
    </row>
    <row r="22" customFormat="false" ht="15" hidden="false" customHeight="true" outlineLevel="0" collapsed="false">
      <c r="B22" s="5" t="s">
        <v>29</v>
      </c>
      <c r="C22" s="6" t="s">
        <v>30</v>
      </c>
    </row>
    <row r="24" customFormat="false" ht="15" hidden="false" customHeight="false" outlineLevel="0" collapsed="false">
      <c r="B24" s="3" t="s">
        <v>31</v>
      </c>
      <c r="C24" s="4"/>
    </row>
    <row r="25" customFormat="false" ht="39" hidden="false" customHeight="true" outlineLevel="0" collapsed="false">
      <c r="B25" s="5" t="s">
        <v>32</v>
      </c>
      <c r="C25" s="6" t="s">
        <v>33</v>
      </c>
    </row>
    <row r="26" customFormat="false" ht="25.5" hidden="false" customHeight="true" outlineLevel="0" collapsed="false">
      <c r="B26" s="5" t="s">
        <v>34</v>
      </c>
      <c r="C26" s="6" t="s">
        <v>35</v>
      </c>
    </row>
    <row r="27" customFormat="false" ht="15" hidden="false" customHeight="true" outlineLevel="0" collapsed="false">
      <c r="B27" s="5" t="s">
        <v>36</v>
      </c>
      <c r="C27" s="6" t="s">
        <v>37</v>
      </c>
    </row>
    <row r="28" customFormat="false" ht="25.5" hidden="false" customHeight="true" outlineLevel="0" collapsed="false">
      <c r="B28" s="5" t="s">
        <v>38</v>
      </c>
      <c r="C28" s="6" t="s">
        <v>39</v>
      </c>
    </row>
    <row r="30" customFormat="false" ht="15" hidden="false" customHeight="false" outlineLevel="0" collapsed="false">
      <c r="B30" s="3" t="s">
        <v>40</v>
      </c>
      <c r="C30" s="4"/>
    </row>
    <row r="31" customFormat="false" ht="39" hidden="false" customHeight="true" outlineLevel="0" collapsed="false">
      <c r="B31" s="5" t="s">
        <v>41</v>
      </c>
      <c r="C31" s="6" t="s">
        <v>42</v>
      </c>
    </row>
    <row r="32" customFormat="false" ht="39" hidden="false" customHeight="true" outlineLevel="0" collapsed="false">
      <c r="B32" s="5" t="s">
        <v>43</v>
      </c>
      <c r="C32" s="6" t="s">
        <v>44</v>
      </c>
    </row>
    <row r="33" customFormat="false" ht="39" hidden="false" customHeight="true" outlineLevel="0" collapsed="false">
      <c r="B33" s="5" t="s">
        <v>45</v>
      </c>
      <c r="C33" s="6" t="s">
        <v>46</v>
      </c>
    </row>
    <row r="34" customFormat="false" ht="25.5" hidden="false" customHeight="true" outlineLevel="0" collapsed="false">
      <c r="B34" s="5" t="s">
        <v>47</v>
      </c>
      <c r="C34" s="6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7"/>
    <col collapsed="false" customWidth="true" hidden="false" outlineLevel="0" max="6" min="3" style="0" width="13"/>
    <col collapsed="false" customWidth="true" hidden="false" outlineLevel="0" max="7" min="7" style="0" width="78"/>
  </cols>
  <sheetData>
    <row r="2" customFormat="false" ht="17.35" hidden="false" customHeight="false" outlineLevel="0" collapsed="false">
      <c r="A2" s="1" t="s">
        <v>49</v>
      </c>
    </row>
    <row r="3" customFormat="false" ht="15" hidden="false" customHeight="false" outlineLevel="0" collapsed="false">
      <c r="A3" s="2" t="s">
        <v>50</v>
      </c>
    </row>
    <row r="5" customFormat="false" ht="15" hidden="false" customHeight="false" outlineLevel="0" collapsed="false">
      <c r="A5" s="5" t="s">
        <v>51</v>
      </c>
      <c r="B5" s="7" t="n">
        <v>2</v>
      </c>
    </row>
    <row r="6" customFormat="false" ht="15" hidden="false" customHeight="false" outlineLevel="0" collapsed="false">
      <c r="A6" s="5" t="s">
        <v>52</v>
      </c>
      <c r="B6" s="8" t="str">
        <f aca="false">INDEX(C6:E6,$B$5)</f>
        <v>Base</v>
      </c>
      <c r="C6" s="9" t="s">
        <v>53</v>
      </c>
      <c r="D6" s="9" t="s">
        <v>54</v>
      </c>
      <c r="E6" s="9" t="s">
        <v>55</v>
      </c>
    </row>
    <row r="8" customFormat="false" ht="15" hidden="false" customHeight="false" outlineLevel="0" collapsed="false">
      <c r="A8" s="10" t="s">
        <v>56</v>
      </c>
      <c r="B8" s="11" t="s">
        <v>57</v>
      </c>
      <c r="C8" s="11" t="s">
        <v>53</v>
      </c>
      <c r="D8" s="11" t="s">
        <v>54</v>
      </c>
      <c r="E8" s="11" t="s">
        <v>55</v>
      </c>
      <c r="F8" s="11" t="s">
        <v>58</v>
      </c>
      <c r="G8" s="11" t="s">
        <v>59</v>
      </c>
    </row>
    <row r="9" customFormat="false" ht="15" hidden="false" customHeight="false" outlineLevel="0" collapsed="false">
      <c r="A9" s="12" t="s">
        <v>60</v>
      </c>
      <c r="B9" s="13"/>
      <c r="C9" s="13"/>
      <c r="D9" s="13"/>
      <c r="E9" s="13"/>
      <c r="F9" s="13"/>
      <c r="G9" s="13"/>
    </row>
    <row r="10" customFormat="false" ht="21.75" hidden="false" customHeight="true" outlineLevel="0" collapsed="false">
      <c r="A10" s="8" t="s">
        <v>61</v>
      </c>
      <c r="B10" s="14" t="s">
        <v>62</v>
      </c>
      <c r="C10" s="15" t="n">
        <v>9</v>
      </c>
      <c r="D10" s="15" t="n">
        <v>9</v>
      </c>
      <c r="E10" s="15" t="n">
        <v>12</v>
      </c>
      <c r="F10" s="16" t="n">
        <f aca="false">INDEX(C10:E10,$B$5)</f>
        <v>9</v>
      </c>
      <c r="G10" s="17" t="s">
        <v>63</v>
      </c>
    </row>
    <row r="11" customFormat="false" ht="15" hidden="false" customHeight="true" outlineLevel="0" collapsed="false">
      <c r="A11" s="8" t="s">
        <v>64</v>
      </c>
      <c r="B11" s="14" t="s">
        <v>62</v>
      </c>
      <c r="C11" s="15" t="n">
        <v>19</v>
      </c>
      <c r="D11" s="15" t="n">
        <v>19</v>
      </c>
      <c r="E11" s="15" t="n">
        <v>24</v>
      </c>
      <c r="F11" s="16" t="n">
        <f aca="false">INDEX(C11:E11,$B$5)</f>
        <v>19</v>
      </c>
      <c r="G11" s="17" t="s">
        <v>65</v>
      </c>
    </row>
    <row r="12" customFormat="false" ht="15" hidden="false" customHeight="true" outlineLevel="0" collapsed="false">
      <c r="A12" s="8" t="s">
        <v>66</v>
      </c>
      <c r="B12" s="14" t="s">
        <v>67</v>
      </c>
      <c r="C12" s="18" t="n">
        <v>0.2</v>
      </c>
      <c r="D12" s="18" t="n">
        <v>0.3</v>
      </c>
      <c r="E12" s="18" t="n">
        <v>0.35</v>
      </c>
      <c r="F12" s="19" t="n">
        <f aca="false">INDEX(C12:E12,$B$5)</f>
        <v>0.3</v>
      </c>
      <c r="G12" s="17" t="s">
        <v>68</v>
      </c>
    </row>
    <row r="13" customFormat="false" ht="21.75" hidden="false" customHeight="true" outlineLevel="0" collapsed="false">
      <c r="A13" s="8" t="s">
        <v>69</v>
      </c>
      <c r="B13" s="14" t="s">
        <v>70</v>
      </c>
      <c r="C13" s="20" t="n">
        <v>0.15</v>
      </c>
      <c r="D13" s="20" t="n">
        <v>0.2</v>
      </c>
      <c r="E13" s="20" t="n">
        <v>0.25</v>
      </c>
      <c r="F13" s="19" t="n">
        <f aca="false">INDEX(C13:E13,$B$5)</f>
        <v>0.2</v>
      </c>
      <c r="G13" s="17" t="s">
        <v>71</v>
      </c>
    </row>
    <row r="14" customFormat="false" ht="15" hidden="false" customHeight="true" outlineLevel="0" collapsed="false">
      <c r="A14" s="8" t="s">
        <v>72</v>
      </c>
      <c r="B14" s="14" t="s">
        <v>73</v>
      </c>
      <c r="C14" s="21" t="n">
        <v>2</v>
      </c>
      <c r="D14" s="21" t="n">
        <v>2</v>
      </c>
      <c r="E14" s="21" t="n">
        <v>2</v>
      </c>
      <c r="F14" s="22" t="n">
        <f aca="false">INDEX(C14:E14,$B$5)</f>
        <v>2</v>
      </c>
      <c r="G14" s="17" t="s">
        <v>74</v>
      </c>
    </row>
    <row r="15" customFormat="false" ht="15" hidden="false" customHeight="false" outlineLevel="0" collapsed="false">
      <c r="A15" s="12" t="s">
        <v>75</v>
      </c>
      <c r="B15" s="13"/>
      <c r="C15" s="13"/>
      <c r="D15" s="13"/>
      <c r="E15" s="13"/>
      <c r="F15" s="13"/>
      <c r="G15" s="13"/>
    </row>
    <row r="16" customFormat="false" ht="15" hidden="false" customHeight="true" outlineLevel="0" collapsed="false">
      <c r="A16" s="8" t="s">
        <v>76</v>
      </c>
      <c r="B16" s="14" t="s">
        <v>62</v>
      </c>
      <c r="C16" s="23" t="n">
        <v>300</v>
      </c>
      <c r="D16" s="23" t="n">
        <v>500</v>
      </c>
      <c r="E16" s="23" t="n">
        <v>900</v>
      </c>
      <c r="F16" s="24" t="n">
        <f aca="false">INDEX(C16:E16,$B$5)</f>
        <v>500</v>
      </c>
      <c r="G16" s="17" t="s">
        <v>77</v>
      </c>
    </row>
    <row r="17" customFormat="false" ht="15" hidden="false" customHeight="true" outlineLevel="0" collapsed="false">
      <c r="A17" s="8" t="s">
        <v>78</v>
      </c>
      <c r="B17" s="14" t="s">
        <v>79</v>
      </c>
      <c r="C17" s="18" t="n">
        <v>0.06</v>
      </c>
      <c r="D17" s="18" t="n">
        <v>0.08</v>
      </c>
      <c r="E17" s="18" t="n">
        <v>0.1</v>
      </c>
      <c r="F17" s="19" t="n">
        <f aca="false">INDEX(C17:E17,$B$5)</f>
        <v>0.08</v>
      </c>
      <c r="G17" s="17" t="s">
        <v>80</v>
      </c>
    </row>
    <row r="18" customFormat="false" ht="21.75" hidden="false" customHeight="true" outlineLevel="0" collapsed="false">
      <c r="A18" s="8" t="s">
        <v>81</v>
      </c>
      <c r="B18" s="14" t="s">
        <v>62</v>
      </c>
      <c r="C18" s="23" t="n">
        <v>3000</v>
      </c>
      <c r="D18" s="23" t="n">
        <v>6000</v>
      </c>
      <c r="E18" s="23" t="n">
        <v>12000</v>
      </c>
      <c r="F18" s="24" t="n">
        <f aca="false">INDEX(C18:E18,$B$5)</f>
        <v>6000</v>
      </c>
      <c r="G18" s="17" t="s">
        <v>82</v>
      </c>
    </row>
    <row r="19" customFormat="false" ht="21.75" hidden="false" customHeight="true" outlineLevel="0" collapsed="false">
      <c r="A19" s="8" t="s">
        <v>83</v>
      </c>
      <c r="B19" s="14" t="s">
        <v>84</v>
      </c>
      <c r="C19" s="25" t="n">
        <v>1.1</v>
      </c>
      <c r="D19" s="25" t="n">
        <v>0.8</v>
      </c>
      <c r="E19" s="25" t="n">
        <v>0.6</v>
      </c>
      <c r="F19" s="16" t="n">
        <f aca="false">INDEX(C19:E19,$B$5)</f>
        <v>0.8</v>
      </c>
      <c r="G19" s="17" t="s">
        <v>85</v>
      </c>
    </row>
    <row r="20" customFormat="false" ht="15" hidden="false" customHeight="true" outlineLevel="0" collapsed="false">
      <c r="A20" s="8" t="s">
        <v>86</v>
      </c>
      <c r="B20" s="14" t="s">
        <v>87</v>
      </c>
      <c r="C20" s="18" t="n">
        <v>0.025</v>
      </c>
      <c r="D20" s="18" t="n">
        <v>0.04</v>
      </c>
      <c r="E20" s="18" t="n">
        <v>0.055</v>
      </c>
      <c r="F20" s="19" t="n">
        <f aca="false">INDEX(C20:E20,$B$5)</f>
        <v>0.04</v>
      </c>
      <c r="G20" s="17" t="s">
        <v>88</v>
      </c>
    </row>
    <row r="21" customFormat="false" ht="21.75" hidden="false" customHeight="true" outlineLevel="0" collapsed="false">
      <c r="A21" s="8" t="s">
        <v>89</v>
      </c>
      <c r="B21" s="14" t="s">
        <v>87</v>
      </c>
      <c r="C21" s="20" t="n">
        <v>0.15</v>
      </c>
      <c r="D21" s="20" t="n">
        <v>0.22</v>
      </c>
      <c r="E21" s="20" t="n">
        <v>0.28</v>
      </c>
      <c r="F21" s="19" t="n">
        <f aca="false">INDEX(C21:E21,$B$5)</f>
        <v>0.22</v>
      </c>
      <c r="G21" s="17" t="s">
        <v>90</v>
      </c>
    </row>
    <row r="22" customFormat="false" ht="21.75" hidden="false" customHeight="true" outlineLevel="0" collapsed="false">
      <c r="A22" s="8" t="s">
        <v>91</v>
      </c>
      <c r="B22" s="14" t="s">
        <v>92</v>
      </c>
      <c r="C22" s="21" t="n">
        <v>10</v>
      </c>
      <c r="D22" s="21" t="n">
        <v>20</v>
      </c>
      <c r="E22" s="21" t="n">
        <v>35</v>
      </c>
      <c r="F22" s="22" t="n">
        <f aca="false">INDEX(C22:E22,$B$5)</f>
        <v>20</v>
      </c>
      <c r="G22" s="17" t="s">
        <v>93</v>
      </c>
    </row>
    <row r="23" customFormat="false" ht="15" hidden="false" customHeight="true" outlineLevel="0" collapsed="false">
      <c r="A23" s="8" t="s">
        <v>94</v>
      </c>
      <c r="B23" s="14" t="s">
        <v>79</v>
      </c>
      <c r="C23" s="18" t="n">
        <v>0.08</v>
      </c>
      <c r="D23" s="18" t="n">
        <v>0.12</v>
      </c>
      <c r="E23" s="18" t="n">
        <v>0.16</v>
      </c>
      <c r="F23" s="19" t="n">
        <f aca="false">INDEX(C23:E23,$B$5)</f>
        <v>0.12</v>
      </c>
      <c r="G23" s="17" t="s">
        <v>95</v>
      </c>
    </row>
    <row r="24" customFormat="false" ht="15" hidden="false" customHeight="true" outlineLevel="0" collapsed="false">
      <c r="A24" s="8" t="s">
        <v>96</v>
      </c>
      <c r="B24" s="14" t="s">
        <v>97</v>
      </c>
      <c r="C24" s="21" t="n">
        <v>150</v>
      </c>
      <c r="D24" s="21" t="n">
        <v>400</v>
      </c>
      <c r="E24" s="21" t="n">
        <v>800</v>
      </c>
      <c r="F24" s="22" t="n">
        <f aca="false">INDEX(C24:E24,$B$5)</f>
        <v>400</v>
      </c>
      <c r="G24" s="17" t="s">
        <v>98</v>
      </c>
    </row>
    <row r="25" customFormat="false" ht="15" hidden="false" customHeight="true" outlineLevel="0" collapsed="false">
      <c r="A25" s="8" t="s">
        <v>99</v>
      </c>
      <c r="B25" s="14" t="s">
        <v>100</v>
      </c>
      <c r="C25" s="26" t="n">
        <v>0.005</v>
      </c>
      <c r="D25" s="26" t="n">
        <v>0.015</v>
      </c>
      <c r="E25" s="26" t="n">
        <v>0.03</v>
      </c>
      <c r="F25" s="27" t="n">
        <f aca="false">INDEX(C25:E25,$B$5)</f>
        <v>0.015</v>
      </c>
      <c r="G25" s="17" t="s">
        <v>101</v>
      </c>
    </row>
    <row r="26" customFormat="false" ht="15" hidden="false" customHeight="false" outlineLevel="0" collapsed="false">
      <c r="A26" s="12" t="s">
        <v>102</v>
      </c>
      <c r="B26" s="13"/>
      <c r="C26" s="13"/>
      <c r="D26" s="13"/>
      <c r="E26" s="13"/>
      <c r="F26" s="13"/>
      <c r="G26" s="13"/>
    </row>
    <row r="27" customFormat="false" ht="33" hidden="false" customHeight="true" outlineLevel="0" collapsed="false">
      <c r="A27" s="8" t="s">
        <v>103</v>
      </c>
      <c r="B27" s="14" t="s">
        <v>79</v>
      </c>
      <c r="C27" s="20" t="n">
        <v>0.08</v>
      </c>
      <c r="D27" s="20" t="n">
        <v>0.06</v>
      </c>
      <c r="E27" s="20" t="n">
        <v>0.045</v>
      </c>
      <c r="F27" s="19" t="n">
        <f aca="false">INDEX(C27:E27,$B$5)</f>
        <v>0.06</v>
      </c>
      <c r="G27" s="17" t="s">
        <v>104</v>
      </c>
    </row>
    <row r="28" customFormat="false" ht="15" hidden="false" customHeight="true" outlineLevel="0" collapsed="false">
      <c r="A28" s="8" t="s">
        <v>105</v>
      </c>
      <c r="B28" s="14" t="s">
        <v>87</v>
      </c>
      <c r="C28" s="18" t="n">
        <v>0.6</v>
      </c>
      <c r="D28" s="18" t="n">
        <v>0.7</v>
      </c>
      <c r="E28" s="18" t="n">
        <v>0.8</v>
      </c>
      <c r="F28" s="19" t="n">
        <f aca="false">INDEX(C28:E28,$B$5)</f>
        <v>0.7</v>
      </c>
      <c r="G28" s="17" t="s">
        <v>106</v>
      </c>
    </row>
    <row r="29" customFormat="false" ht="15" hidden="false" customHeight="false" outlineLevel="0" collapsed="false">
      <c r="A29" s="12" t="s">
        <v>107</v>
      </c>
      <c r="B29" s="13"/>
      <c r="C29" s="13"/>
      <c r="D29" s="13"/>
      <c r="E29" s="13"/>
      <c r="F29" s="13"/>
      <c r="G29" s="13"/>
    </row>
    <row r="30" customFormat="false" ht="21.75" hidden="false" customHeight="true" outlineLevel="0" collapsed="false">
      <c r="A30" s="8" t="s">
        <v>108</v>
      </c>
      <c r="B30" s="14" t="s">
        <v>109</v>
      </c>
      <c r="C30" s="28" t="n">
        <v>0.45</v>
      </c>
      <c r="D30" s="28" t="n">
        <v>0.35</v>
      </c>
      <c r="E30" s="28" t="n">
        <v>0.28</v>
      </c>
      <c r="F30" s="29" t="n">
        <f aca="false">INDEX(C30:E30,$B$5)</f>
        <v>0.35</v>
      </c>
      <c r="G30" s="17" t="s">
        <v>110</v>
      </c>
    </row>
    <row r="31" customFormat="false" ht="15" hidden="false" customHeight="true" outlineLevel="0" collapsed="false">
      <c r="A31" s="8" t="s">
        <v>111</v>
      </c>
      <c r="B31" s="14" t="s">
        <v>109</v>
      </c>
      <c r="C31" s="28" t="n">
        <v>0.15</v>
      </c>
      <c r="D31" s="28" t="n">
        <v>0.1</v>
      </c>
      <c r="E31" s="28" t="n">
        <v>0.08</v>
      </c>
      <c r="F31" s="29" t="n">
        <f aca="false">INDEX(C31:E31,$B$5)</f>
        <v>0.1</v>
      </c>
      <c r="G31" s="17" t="s">
        <v>112</v>
      </c>
    </row>
    <row r="32" customFormat="false" ht="21.75" hidden="false" customHeight="true" outlineLevel="0" collapsed="false">
      <c r="A32" s="8" t="s">
        <v>113</v>
      </c>
      <c r="B32" s="14" t="s">
        <v>109</v>
      </c>
      <c r="C32" s="28" t="n">
        <v>0.5</v>
      </c>
      <c r="D32" s="28" t="n">
        <v>0.3</v>
      </c>
      <c r="E32" s="28" t="n">
        <v>0.2</v>
      </c>
      <c r="F32" s="29" t="n">
        <f aca="false">INDEX(C32:E32,$B$5)</f>
        <v>0.3</v>
      </c>
      <c r="G32" s="17" t="s">
        <v>114</v>
      </c>
    </row>
    <row r="33" customFormat="false" ht="21.75" hidden="false" customHeight="true" outlineLevel="0" collapsed="false">
      <c r="A33" s="8" t="s">
        <v>115</v>
      </c>
      <c r="B33" s="14" t="s">
        <v>87</v>
      </c>
      <c r="C33" s="18" t="n">
        <v>0.015</v>
      </c>
      <c r="D33" s="18" t="n">
        <v>0.015</v>
      </c>
      <c r="E33" s="18" t="n">
        <v>0.015</v>
      </c>
      <c r="F33" s="19" t="n">
        <f aca="false">INDEX(C33:E33,$B$5)</f>
        <v>0.015</v>
      </c>
      <c r="G33" s="17" t="s">
        <v>116</v>
      </c>
    </row>
    <row r="34" customFormat="false" ht="21.75" hidden="false" customHeight="true" outlineLevel="0" collapsed="false">
      <c r="A34" s="8" t="s">
        <v>117</v>
      </c>
      <c r="B34" s="14" t="s">
        <v>84</v>
      </c>
      <c r="C34" s="15" t="n">
        <v>0.25</v>
      </c>
      <c r="D34" s="15" t="n">
        <v>0.25</v>
      </c>
      <c r="E34" s="15" t="n">
        <v>0.25</v>
      </c>
      <c r="F34" s="16" t="n">
        <f aca="false">INDEX(C34:E34,$B$5)</f>
        <v>0.25</v>
      </c>
      <c r="G34" s="17" t="s">
        <v>118</v>
      </c>
    </row>
    <row r="35" customFormat="false" ht="15" hidden="false" customHeight="true" outlineLevel="0" collapsed="false">
      <c r="A35" s="8" t="s">
        <v>119</v>
      </c>
      <c r="B35" s="14" t="s">
        <v>62</v>
      </c>
      <c r="C35" s="23" t="n">
        <v>90</v>
      </c>
      <c r="D35" s="23" t="n">
        <v>70</v>
      </c>
      <c r="E35" s="23" t="n">
        <v>70</v>
      </c>
      <c r="F35" s="24" t="n">
        <f aca="false">INDEX(C35:E35,$B$5)</f>
        <v>70</v>
      </c>
      <c r="G35" s="17" t="s">
        <v>120</v>
      </c>
    </row>
    <row r="36" customFormat="false" ht="15" hidden="false" customHeight="false" outlineLevel="0" collapsed="false">
      <c r="A36" s="12" t="s">
        <v>121</v>
      </c>
      <c r="B36" s="13"/>
      <c r="C36" s="13"/>
      <c r="D36" s="13"/>
      <c r="E36" s="13"/>
      <c r="F36" s="13"/>
      <c r="G36" s="13"/>
    </row>
    <row r="37" customFormat="false" ht="21.75" hidden="false" customHeight="true" outlineLevel="0" collapsed="false">
      <c r="A37" s="8" t="s">
        <v>122</v>
      </c>
      <c r="B37" s="14" t="s">
        <v>62</v>
      </c>
      <c r="C37" s="23" t="n">
        <v>1500</v>
      </c>
      <c r="D37" s="23" t="n">
        <v>2500</v>
      </c>
      <c r="E37" s="23" t="n">
        <v>3500</v>
      </c>
      <c r="F37" s="24" t="n">
        <f aca="false">INDEX(C37:E37,$B$5)</f>
        <v>2500</v>
      </c>
      <c r="G37" s="17" t="s">
        <v>123</v>
      </c>
    </row>
    <row r="38" customFormat="false" ht="21.75" hidden="false" customHeight="true" outlineLevel="0" collapsed="false">
      <c r="A38" s="8" t="s">
        <v>124</v>
      </c>
      <c r="B38" s="14" t="s">
        <v>125</v>
      </c>
      <c r="C38" s="30" t="n">
        <v>13</v>
      </c>
      <c r="D38" s="30" t="n">
        <v>13</v>
      </c>
      <c r="E38" s="30" t="n">
        <v>10</v>
      </c>
      <c r="F38" s="31" t="n">
        <f aca="false">INDEX(C38:E38,$B$5)</f>
        <v>13</v>
      </c>
      <c r="G38" s="17" t="s">
        <v>126</v>
      </c>
    </row>
    <row r="39" customFormat="false" ht="15" hidden="false" customHeight="true" outlineLevel="0" collapsed="false">
      <c r="A39" s="8" t="s">
        <v>127</v>
      </c>
      <c r="B39" s="14" t="s">
        <v>62</v>
      </c>
      <c r="C39" s="23" t="n">
        <v>150</v>
      </c>
      <c r="D39" s="23" t="n">
        <v>120</v>
      </c>
      <c r="E39" s="23" t="n">
        <v>120</v>
      </c>
      <c r="F39" s="24" t="n">
        <f aca="false">INDEX(C39:E39,$B$5)</f>
        <v>120</v>
      </c>
      <c r="G39" s="17" t="s">
        <v>128</v>
      </c>
    </row>
    <row r="40" customFormat="false" ht="21.75" hidden="false" customHeight="true" outlineLevel="0" collapsed="false">
      <c r="A40" s="8" t="s">
        <v>129</v>
      </c>
      <c r="B40" s="14" t="s">
        <v>62</v>
      </c>
      <c r="C40" s="23" t="n">
        <v>120</v>
      </c>
      <c r="D40" s="23" t="n">
        <v>80</v>
      </c>
      <c r="E40" s="23" t="n">
        <v>80</v>
      </c>
      <c r="F40" s="24" t="n">
        <f aca="false">INDEX(C40:E40,$B$5)</f>
        <v>80</v>
      </c>
      <c r="G40" s="17" t="s">
        <v>130</v>
      </c>
    </row>
    <row r="41" customFormat="false" ht="15" hidden="false" customHeight="true" outlineLevel="0" collapsed="false">
      <c r="A41" s="8" t="s">
        <v>131</v>
      </c>
      <c r="B41" s="14" t="s">
        <v>79</v>
      </c>
      <c r="C41" s="26" t="n">
        <v>0.005</v>
      </c>
      <c r="D41" s="26" t="n">
        <v>0.005</v>
      </c>
      <c r="E41" s="26" t="n">
        <v>0.005</v>
      </c>
      <c r="F41" s="27" t="n">
        <f aca="false">INDEX(C41:E41,$B$5)</f>
        <v>0.005</v>
      </c>
      <c r="G41" s="17" t="s">
        <v>132</v>
      </c>
    </row>
    <row r="42" customFormat="false" ht="15" hidden="false" customHeight="false" outlineLevel="0" collapsed="false">
      <c r="A42" s="12" t="s">
        <v>133</v>
      </c>
      <c r="B42" s="13"/>
      <c r="C42" s="13"/>
      <c r="D42" s="13"/>
      <c r="E42" s="13"/>
      <c r="F42" s="13"/>
      <c r="G42" s="13"/>
    </row>
    <row r="43" customFormat="false" ht="15" hidden="false" customHeight="true" outlineLevel="0" collapsed="false">
      <c r="A43" s="8" t="s">
        <v>134</v>
      </c>
      <c r="B43" s="14" t="s">
        <v>84</v>
      </c>
      <c r="C43" s="23" t="n">
        <v>5000</v>
      </c>
      <c r="D43" s="23" t="n">
        <v>5000</v>
      </c>
      <c r="E43" s="23" t="n">
        <v>5000</v>
      </c>
      <c r="F43" s="24" t="n">
        <f aca="false">INDEX(C43:E43,$B$5)</f>
        <v>5000</v>
      </c>
      <c r="G43" s="17" t="s">
        <v>135</v>
      </c>
    </row>
    <row r="44" customFormat="false" ht="21.75" hidden="false" customHeight="true" outlineLevel="0" collapsed="false">
      <c r="A44" s="8" t="s">
        <v>136</v>
      </c>
      <c r="B44" s="14" t="s">
        <v>137</v>
      </c>
      <c r="C44" s="18" t="n">
        <v>0.3</v>
      </c>
      <c r="D44" s="18" t="n">
        <v>0.25</v>
      </c>
      <c r="E44" s="18" t="n">
        <v>0.2</v>
      </c>
      <c r="F44" s="19" t="n">
        <f aca="false">INDEX(C44:E44,$B$5)</f>
        <v>0.25</v>
      </c>
      <c r="G44" s="17" t="s">
        <v>138</v>
      </c>
    </row>
    <row r="45" customFormat="false" ht="15" hidden="false" customHeight="false" outlineLevel="0" collapsed="false">
      <c r="A45" s="12" t="s">
        <v>139</v>
      </c>
      <c r="B45" s="13"/>
      <c r="C45" s="13"/>
      <c r="D45" s="13"/>
      <c r="E45" s="13"/>
      <c r="F45" s="13"/>
      <c r="G45" s="13"/>
    </row>
    <row r="46" customFormat="false" ht="15" hidden="false" customHeight="true" outlineLevel="0" collapsed="false">
      <c r="A46" s="8" t="s">
        <v>140</v>
      </c>
      <c r="B46" s="14" t="s">
        <v>62</v>
      </c>
      <c r="F46" s="16" t="n">
        <f aca="false">Assumptions!$F$10*(1-Assumptions!$F$12)+Assumptions!$F$11*Assumptions!$F$12</f>
        <v>12</v>
      </c>
      <c r="G46" s="17" t="s">
        <v>141</v>
      </c>
    </row>
    <row r="47" customFormat="false" ht="15" hidden="false" customHeight="true" outlineLevel="0" collapsed="false">
      <c r="A47" s="8" t="s">
        <v>142</v>
      </c>
      <c r="B47" s="14" t="s">
        <v>62</v>
      </c>
      <c r="F47" s="16" t="n">
        <f aca="false">Assumptions!$F$46*(12-Assumptions!$F$14)/12</f>
        <v>10</v>
      </c>
      <c r="G47" s="17" t="s">
        <v>143</v>
      </c>
    </row>
    <row r="48" customFormat="false" ht="15" hidden="false" customHeight="true" outlineLevel="0" collapsed="false">
      <c r="A48" s="8" t="s">
        <v>144</v>
      </c>
      <c r="B48" s="14" t="s">
        <v>62</v>
      </c>
      <c r="F48" s="16" t="n">
        <f aca="false">Assumptions!$F$46*(1-Assumptions!$F$13)+Assumptions!$F$47*Assumptions!$F$13</f>
        <v>11.6</v>
      </c>
      <c r="G48" s="17" t="s">
        <v>145</v>
      </c>
    </row>
    <row r="49" customFormat="false" ht="15" hidden="false" customHeight="true" outlineLevel="0" collapsed="false">
      <c r="A49" s="8" t="s">
        <v>146</v>
      </c>
      <c r="B49" s="14" t="s">
        <v>84</v>
      </c>
      <c r="F49" s="24" t="n">
        <f aca="false">Assumptions!$F$46*(12-Assumptions!$F$14)</f>
        <v>120</v>
      </c>
      <c r="G49" s="17" t="s">
        <v>147</v>
      </c>
    </row>
    <row r="50" customFormat="false" ht="21.75" hidden="false" customHeight="true" outlineLevel="0" collapsed="false">
      <c r="A50" s="8" t="s">
        <v>148</v>
      </c>
      <c r="B50" s="14" t="s">
        <v>79</v>
      </c>
      <c r="F50" s="27" t="n">
        <f aca="false">1-Assumptions!$F$28^(1/12)</f>
        <v>0.0292855303767776</v>
      </c>
      <c r="G50" s="17" t="s">
        <v>149</v>
      </c>
    </row>
    <row r="51" customFormat="false" ht="15" hidden="false" customHeight="true" outlineLevel="0" collapsed="false">
      <c r="A51" s="8" t="s">
        <v>150</v>
      </c>
      <c r="B51" s="14" t="s">
        <v>79</v>
      </c>
      <c r="F51" s="27" t="n">
        <f aca="false">Assumptions!$F$27*(1-Assumptions!$F$13)+Assumptions!$F$50*Assumptions!$F$13</f>
        <v>0.0538571060753555</v>
      </c>
      <c r="G51" s="17" t="s">
        <v>151</v>
      </c>
    </row>
    <row r="52" customFormat="false" ht="15" hidden="false" customHeight="true" outlineLevel="0" collapsed="false">
      <c r="A52" s="8" t="s">
        <v>152</v>
      </c>
      <c r="B52" s="14" t="s">
        <v>73</v>
      </c>
      <c r="F52" s="32" t="n">
        <f aca="false">IF(Assumptions!$F$51=0,0,1/Assumptions!$F$51)</f>
        <v>18.5676519380901</v>
      </c>
      <c r="G52" s="17" t="s">
        <v>153</v>
      </c>
    </row>
    <row r="53" customFormat="false" ht="21.75" hidden="false" customHeight="true" outlineLevel="0" collapsed="false">
      <c r="A53" s="8" t="s">
        <v>154</v>
      </c>
      <c r="B53" s="14" t="s">
        <v>84</v>
      </c>
      <c r="F53" s="16" t="n">
        <f aca="false">IF(Assumptions!$F$20*Assumptions!$F$21=0,0,Assumptions!$F$19/(Assumptions!$F$20*Assumptions!$F$21))</f>
        <v>90.9090909090909</v>
      </c>
      <c r="G53" s="17" t="s">
        <v>155</v>
      </c>
    </row>
    <row r="54" customFormat="false" ht="15" hidden="false" customHeight="true" outlineLevel="0" collapsed="false">
      <c r="A54" s="8" t="s">
        <v>156</v>
      </c>
      <c r="B54" s="14" t="s">
        <v>79</v>
      </c>
      <c r="F54" s="27" t="n">
        <f aca="false">(1+Assumptions!$F$44)^(1/12)-1</f>
        <v>0.0187692651215061</v>
      </c>
      <c r="G54" s="17" t="s">
        <v>157</v>
      </c>
    </row>
  </sheetData>
  <dataValidations count="1">
    <dataValidation allowBlank="false" error="Enter 1 (Conservative), 2 (Base) or 3 (Aggressive)." errorStyle="stop" errorTitle="Scenario" operator="between" showDropDown="false" showErrorMessage="true" showInputMessage="false" sqref="B5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L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5"/>
    <col collapsed="false" customWidth="true" hidden="false" outlineLevel="0" max="38" min="3" style="0" width="11"/>
  </cols>
  <sheetData>
    <row r="2" customFormat="false" ht="17.35" hidden="false" customHeight="false" outlineLevel="0" collapsed="false">
      <c r="A2" s="1" t="s">
        <v>158</v>
      </c>
    </row>
    <row r="3" customFormat="false" ht="15" hidden="false" customHeight="false" outlineLevel="0" collapsed="false">
      <c r="A3" s="2" t="s">
        <v>159</v>
      </c>
    </row>
    <row r="5" customFormat="false" ht="15" hidden="false" customHeight="false" outlineLevel="0" collapsed="false">
      <c r="A5" s="5" t="s">
        <v>160</v>
      </c>
      <c r="B5" s="14" t="s">
        <v>161</v>
      </c>
      <c r="C5" s="33" t="n">
        <v>1</v>
      </c>
      <c r="D5" s="33" t="n">
        <v>2</v>
      </c>
      <c r="E5" s="33" t="n">
        <v>3</v>
      </c>
      <c r="F5" s="33" t="n">
        <v>4</v>
      </c>
      <c r="G5" s="33" t="n">
        <v>5</v>
      </c>
      <c r="H5" s="33" t="n">
        <v>6</v>
      </c>
      <c r="I5" s="33" t="n">
        <v>7</v>
      </c>
      <c r="J5" s="33" t="n">
        <v>8</v>
      </c>
      <c r="K5" s="33" t="n">
        <v>9</v>
      </c>
      <c r="L5" s="33" t="n">
        <v>10</v>
      </c>
      <c r="M5" s="33" t="n">
        <v>11</v>
      </c>
      <c r="N5" s="33" t="n">
        <v>12</v>
      </c>
      <c r="O5" s="33" t="n">
        <v>13</v>
      </c>
      <c r="P5" s="33" t="n">
        <v>14</v>
      </c>
      <c r="Q5" s="33" t="n">
        <v>15</v>
      </c>
      <c r="R5" s="33" t="n">
        <v>16</v>
      </c>
      <c r="S5" s="33" t="n">
        <v>17</v>
      </c>
      <c r="T5" s="33" t="n">
        <v>18</v>
      </c>
      <c r="U5" s="33" t="n">
        <v>19</v>
      </c>
      <c r="V5" s="33" t="n">
        <v>20</v>
      </c>
      <c r="W5" s="33" t="n">
        <v>21</v>
      </c>
      <c r="X5" s="33" t="n">
        <v>22</v>
      </c>
      <c r="Y5" s="33" t="n">
        <v>23</v>
      </c>
      <c r="Z5" s="33" t="n">
        <v>24</v>
      </c>
      <c r="AA5" s="33" t="n">
        <v>25</v>
      </c>
      <c r="AB5" s="33" t="n">
        <v>26</v>
      </c>
      <c r="AC5" s="33" t="n">
        <v>27</v>
      </c>
      <c r="AD5" s="33" t="n">
        <v>28</v>
      </c>
      <c r="AE5" s="33" t="n">
        <v>29</v>
      </c>
      <c r="AF5" s="33" t="n">
        <v>30</v>
      </c>
      <c r="AG5" s="33" t="n">
        <v>31</v>
      </c>
      <c r="AH5" s="33" t="n">
        <v>32</v>
      </c>
      <c r="AI5" s="33" t="n">
        <v>33</v>
      </c>
      <c r="AJ5" s="33" t="n">
        <v>34</v>
      </c>
      <c r="AK5" s="33" t="n">
        <v>35</v>
      </c>
      <c r="AL5" s="33" t="n">
        <v>36</v>
      </c>
    </row>
    <row r="7" customFormat="false" ht="15" hidden="false" customHeight="false" outlineLevel="0" collapsed="false">
      <c r="A7" s="3" t="s">
        <v>162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customFormat="false" ht="15" hidden="false" customHeight="false" outlineLevel="0" collapsed="false">
      <c r="A8" s="8" t="s">
        <v>163</v>
      </c>
      <c r="B8" s="14" t="s">
        <v>84</v>
      </c>
      <c r="C8" s="34" t="n">
        <f aca="false">MIN(Assumptions!$F$18,Assumptions!$F$16*(1+Assumptions!$F$17)^(C5-1))</f>
        <v>500</v>
      </c>
      <c r="D8" s="34" t="n">
        <f aca="false">MIN(Assumptions!$F$18,Assumptions!$F$16*(1+Assumptions!$F$17)^(D5-1))</f>
        <v>540</v>
      </c>
      <c r="E8" s="34" t="n">
        <f aca="false">MIN(Assumptions!$F$18,Assumptions!$F$16*(1+Assumptions!$F$17)^(E5-1))</f>
        <v>583.2</v>
      </c>
      <c r="F8" s="34" t="n">
        <f aca="false">MIN(Assumptions!$F$18,Assumptions!$F$16*(1+Assumptions!$F$17)^(F5-1))</f>
        <v>629.856</v>
      </c>
      <c r="G8" s="34" t="n">
        <f aca="false">MIN(Assumptions!$F$18,Assumptions!$F$16*(1+Assumptions!$F$17)^(G5-1))</f>
        <v>680.24448</v>
      </c>
      <c r="H8" s="34" t="n">
        <f aca="false">MIN(Assumptions!$F$18,Assumptions!$F$16*(1+Assumptions!$F$17)^(H5-1))</f>
        <v>734.6640384</v>
      </c>
      <c r="I8" s="34" t="n">
        <f aca="false">MIN(Assumptions!$F$18,Assumptions!$F$16*(1+Assumptions!$F$17)^(I5-1))</f>
        <v>793.437161472</v>
      </c>
      <c r="J8" s="34" t="n">
        <f aca="false">MIN(Assumptions!$F$18,Assumptions!$F$16*(1+Assumptions!$F$17)^(J5-1))</f>
        <v>856.912134389761</v>
      </c>
      <c r="K8" s="34" t="n">
        <f aca="false">MIN(Assumptions!$F$18,Assumptions!$F$16*(1+Assumptions!$F$17)^(K5-1))</f>
        <v>925.465105140941</v>
      </c>
      <c r="L8" s="34" t="n">
        <f aca="false">MIN(Assumptions!$F$18,Assumptions!$F$16*(1+Assumptions!$F$17)^(L5-1))</f>
        <v>999.502313552217</v>
      </c>
      <c r="M8" s="34" t="n">
        <f aca="false">MIN(Assumptions!$F$18,Assumptions!$F$16*(1+Assumptions!$F$17)^(M5-1))</f>
        <v>1079.46249863639</v>
      </c>
      <c r="N8" s="34" t="n">
        <f aca="false">MIN(Assumptions!$F$18,Assumptions!$F$16*(1+Assumptions!$F$17)^(N5-1))</f>
        <v>1165.81949852731</v>
      </c>
      <c r="O8" s="34" t="n">
        <f aca="false">MIN(Assumptions!$F$18,Assumptions!$F$16*(1+Assumptions!$F$17)^(O5-1))</f>
        <v>1259.08505840949</v>
      </c>
      <c r="P8" s="34" t="n">
        <f aca="false">MIN(Assumptions!$F$18,Assumptions!$F$16*(1+Assumptions!$F$17)^(P5-1))</f>
        <v>1359.81186308225</v>
      </c>
      <c r="Q8" s="34" t="n">
        <f aca="false">MIN(Assumptions!$F$18,Assumptions!$F$16*(1+Assumptions!$F$17)^(Q5-1))</f>
        <v>1468.59681212883</v>
      </c>
      <c r="R8" s="34" t="n">
        <f aca="false">MIN(Assumptions!$F$18,Assumptions!$F$16*(1+Assumptions!$F$17)^(R5-1))</f>
        <v>1586.08455709914</v>
      </c>
      <c r="S8" s="34" t="n">
        <f aca="false">MIN(Assumptions!$F$18,Assumptions!$F$16*(1+Assumptions!$F$17)^(S5-1))</f>
        <v>1712.97132166707</v>
      </c>
      <c r="T8" s="34" t="n">
        <f aca="false">MIN(Assumptions!$F$18,Assumptions!$F$16*(1+Assumptions!$F$17)^(T5-1))</f>
        <v>1850.00902740043</v>
      </c>
      <c r="U8" s="34" t="n">
        <f aca="false">MIN(Assumptions!$F$18,Assumptions!$F$16*(1+Assumptions!$F$17)^(U5-1))</f>
        <v>1998.00974959247</v>
      </c>
      <c r="V8" s="34" t="n">
        <f aca="false">MIN(Assumptions!$F$18,Assumptions!$F$16*(1+Assumptions!$F$17)^(V5-1))</f>
        <v>2157.85052955986</v>
      </c>
      <c r="W8" s="34" t="n">
        <f aca="false">MIN(Assumptions!$F$18,Assumptions!$F$16*(1+Assumptions!$F$17)^(W5-1))</f>
        <v>2330.47857192465</v>
      </c>
      <c r="X8" s="34" t="n">
        <f aca="false">MIN(Assumptions!$F$18,Assumptions!$F$16*(1+Assumptions!$F$17)^(X5-1))</f>
        <v>2516.91685767863</v>
      </c>
      <c r="Y8" s="34" t="n">
        <f aca="false">MIN(Assumptions!$F$18,Assumptions!$F$16*(1+Assumptions!$F$17)^(Y5-1))</f>
        <v>2718.27020629292</v>
      </c>
      <c r="Z8" s="34" t="n">
        <f aca="false">MIN(Assumptions!$F$18,Assumptions!$F$16*(1+Assumptions!$F$17)^(Z5-1))</f>
        <v>2935.73182279635</v>
      </c>
      <c r="AA8" s="34" t="n">
        <f aca="false">MIN(Assumptions!$F$18,Assumptions!$F$16*(1+Assumptions!$F$17)^(AA5-1))</f>
        <v>3170.59036862006</v>
      </c>
      <c r="AB8" s="34" t="n">
        <f aca="false">MIN(Assumptions!$F$18,Assumptions!$F$16*(1+Assumptions!$F$17)^(AB5-1))</f>
        <v>3424.23759810966</v>
      </c>
      <c r="AC8" s="34" t="n">
        <f aca="false">MIN(Assumptions!$F$18,Assumptions!$F$16*(1+Assumptions!$F$17)^(AC5-1))</f>
        <v>3698.17660595844</v>
      </c>
      <c r="AD8" s="34" t="n">
        <f aca="false">MIN(Assumptions!$F$18,Assumptions!$F$16*(1+Assumptions!$F$17)^(AD5-1))</f>
        <v>3994.03073443511</v>
      </c>
      <c r="AE8" s="34" t="n">
        <f aca="false">MIN(Assumptions!$F$18,Assumptions!$F$16*(1+Assumptions!$F$17)^(AE5-1))</f>
        <v>4313.55319318992</v>
      </c>
      <c r="AF8" s="34" t="n">
        <f aca="false">MIN(Assumptions!$F$18,Assumptions!$F$16*(1+Assumptions!$F$17)^(AF5-1))</f>
        <v>4658.63744864512</v>
      </c>
      <c r="AG8" s="34" t="n">
        <f aca="false">MIN(Assumptions!$F$18,Assumptions!$F$16*(1+Assumptions!$F$17)^(AG5-1))</f>
        <v>5031.32844453673</v>
      </c>
      <c r="AH8" s="34" t="n">
        <f aca="false">MIN(Assumptions!$F$18,Assumptions!$F$16*(1+Assumptions!$F$17)^(AH5-1))</f>
        <v>5433.83472009966</v>
      </c>
      <c r="AI8" s="34" t="n">
        <f aca="false">MIN(Assumptions!$F$18,Assumptions!$F$16*(1+Assumptions!$F$17)^(AI5-1))</f>
        <v>5868.54149770764</v>
      </c>
      <c r="AJ8" s="34" t="n">
        <f aca="false">MIN(Assumptions!$F$18,Assumptions!$F$16*(1+Assumptions!$F$17)^(AJ5-1))</f>
        <v>6000</v>
      </c>
      <c r="AK8" s="34" t="n">
        <f aca="false">MIN(Assumptions!$F$18,Assumptions!$F$16*(1+Assumptions!$F$17)^(AK5-1))</f>
        <v>6000</v>
      </c>
      <c r="AL8" s="34" t="n">
        <f aca="false">MIN(Assumptions!$F$18,Assumptions!$F$16*(1+Assumptions!$F$17)^(AL5-1))</f>
        <v>6000</v>
      </c>
    </row>
    <row r="9" customFormat="false" ht="15" hidden="false" customHeight="false" outlineLevel="0" collapsed="false">
      <c r="A9" s="8" t="s">
        <v>164</v>
      </c>
      <c r="B9" s="14" t="s">
        <v>161</v>
      </c>
      <c r="C9" s="35" t="n">
        <f aca="false">IF(Assumptions!$F$19=0,0,C8/Assumptions!$F$19)</f>
        <v>625</v>
      </c>
      <c r="D9" s="35" t="n">
        <f aca="false">IF(Assumptions!$F$19=0,0,D8/Assumptions!$F$19)</f>
        <v>675</v>
      </c>
      <c r="E9" s="35" t="n">
        <f aca="false">IF(Assumptions!$F$19=0,0,E8/Assumptions!$F$19)</f>
        <v>729</v>
      </c>
      <c r="F9" s="35" t="n">
        <f aca="false">IF(Assumptions!$F$19=0,0,F8/Assumptions!$F$19)</f>
        <v>787.32</v>
      </c>
      <c r="G9" s="35" t="n">
        <f aca="false">IF(Assumptions!$F$19=0,0,G8/Assumptions!$F$19)</f>
        <v>850.3056</v>
      </c>
      <c r="H9" s="35" t="n">
        <f aca="false">IF(Assumptions!$F$19=0,0,H8/Assumptions!$F$19)</f>
        <v>918.330048</v>
      </c>
      <c r="I9" s="35" t="n">
        <f aca="false">IF(Assumptions!$F$19=0,0,I8/Assumptions!$F$19)</f>
        <v>991.79645184</v>
      </c>
      <c r="J9" s="35" t="n">
        <f aca="false">IF(Assumptions!$F$19=0,0,J8/Assumptions!$F$19)</f>
        <v>1071.1401679872</v>
      </c>
      <c r="K9" s="35" t="n">
        <f aca="false">IF(Assumptions!$F$19=0,0,K8/Assumptions!$F$19)</f>
        <v>1156.83138142618</v>
      </c>
      <c r="L9" s="35" t="n">
        <f aca="false">IF(Assumptions!$F$19=0,0,L8/Assumptions!$F$19)</f>
        <v>1249.37789194027</v>
      </c>
      <c r="M9" s="35" t="n">
        <f aca="false">IF(Assumptions!$F$19=0,0,M8/Assumptions!$F$19)</f>
        <v>1349.32812329549</v>
      </c>
      <c r="N9" s="35" t="n">
        <f aca="false">IF(Assumptions!$F$19=0,0,N8/Assumptions!$F$19)</f>
        <v>1457.27437315913</v>
      </c>
      <c r="O9" s="35" t="n">
        <f aca="false">IF(Assumptions!$F$19=0,0,O8/Assumptions!$F$19)</f>
        <v>1573.85632301186</v>
      </c>
      <c r="P9" s="35" t="n">
        <f aca="false">IF(Assumptions!$F$19=0,0,P8/Assumptions!$F$19)</f>
        <v>1699.76482885281</v>
      </c>
      <c r="Q9" s="35" t="n">
        <f aca="false">IF(Assumptions!$F$19=0,0,Q8/Assumptions!$F$19)</f>
        <v>1835.74601516104</v>
      </c>
      <c r="R9" s="35" t="n">
        <f aca="false">IF(Assumptions!$F$19=0,0,R8/Assumptions!$F$19)</f>
        <v>1982.60569637392</v>
      </c>
      <c r="S9" s="35" t="n">
        <f aca="false">IF(Assumptions!$F$19=0,0,S8/Assumptions!$F$19)</f>
        <v>2141.21415208383</v>
      </c>
      <c r="T9" s="35" t="n">
        <f aca="false">IF(Assumptions!$F$19=0,0,T8/Assumptions!$F$19)</f>
        <v>2312.51128425054</v>
      </c>
      <c r="U9" s="35" t="n">
        <f aca="false">IF(Assumptions!$F$19=0,0,U8/Assumptions!$F$19)</f>
        <v>2497.51218699058</v>
      </c>
      <c r="V9" s="35" t="n">
        <f aca="false">IF(Assumptions!$F$19=0,0,V8/Assumptions!$F$19)</f>
        <v>2697.31316194983</v>
      </c>
      <c r="W9" s="35" t="n">
        <f aca="false">IF(Assumptions!$F$19=0,0,W8/Assumptions!$F$19)</f>
        <v>2913.09821490582</v>
      </c>
      <c r="X9" s="35" t="n">
        <f aca="false">IF(Assumptions!$F$19=0,0,X8/Assumptions!$F$19)</f>
        <v>3146.14607209828</v>
      </c>
      <c r="Y9" s="35" t="n">
        <f aca="false">IF(Assumptions!$F$19=0,0,Y8/Assumptions!$F$19)</f>
        <v>3397.83775786615</v>
      </c>
      <c r="Z9" s="35" t="n">
        <f aca="false">IF(Assumptions!$F$19=0,0,Z8/Assumptions!$F$19)</f>
        <v>3669.66477849544</v>
      </c>
      <c r="AA9" s="35" t="n">
        <f aca="false">IF(Assumptions!$F$19=0,0,AA8/Assumptions!$F$19)</f>
        <v>3963.23796077507</v>
      </c>
      <c r="AB9" s="35" t="n">
        <f aca="false">IF(Assumptions!$F$19=0,0,AB8/Assumptions!$F$19)</f>
        <v>4280.29699763708</v>
      </c>
      <c r="AC9" s="35" t="n">
        <f aca="false">IF(Assumptions!$F$19=0,0,AC8/Assumptions!$F$19)</f>
        <v>4622.72075744805</v>
      </c>
      <c r="AD9" s="35" t="n">
        <f aca="false">IF(Assumptions!$F$19=0,0,AD8/Assumptions!$F$19)</f>
        <v>4992.53841804389</v>
      </c>
      <c r="AE9" s="35" t="n">
        <f aca="false">IF(Assumptions!$F$19=0,0,AE8/Assumptions!$F$19)</f>
        <v>5391.9414914874</v>
      </c>
      <c r="AF9" s="35" t="n">
        <f aca="false">IF(Assumptions!$F$19=0,0,AF8/Assumptions!$F$19)</f>
        <v>5823.29681080639</v>
      </c>
      <c r="AG9" s="35" t="n">
        <f aca="false">IF(Assumptions!$F$19=0,0,AG8/Assumptions!$F$19)</f>
        <v>6289.16055567091</v>
      </c>
      <c r="AH9" s="35" t="n">
        <f aca="false">IF(Assumptions!$F$19=0,0,AH8/Assumptions!$F$19)</f>
        <v>6792.29340012458</v>
      </c>
      <c r="AI9" s="35" t="n">
        <f aca="false">IF(Assumptions!$F$19=0,0,AI8/Assumptions!$F$19)</f>
        <v>7335.67687213455</v>
      </c>
      <c r="AJ9" s="35" t="n">
        <f aca="false">IF(Assumptions!$F$19=0,0,AJ8/Assumptions!$F$19)</f>
        <v>7500</v>
      </c>
      <c r="AK9" s="35" t="n">
        <f aca="false">IF(Assumptions!$F$19=0,0,AK8/Assumptions!$F$19)</f>
        <v>7500</v>
      </c>
      <c r="AL9" s="35" t="n">
        <f aca="false">IF(Assumptions!$F$19=0,0,AL8/Assumptions!$F$19)</f>
        <v>7500</v>
      </c>
    </row>
    <row r="10" customFormat="false" ht="15" hidden="false" customHeight="false" outlineLevel="0" collapsed="false">
      <c r="A10" s="8" t="s">
        <v>165</v>
      </c>
      <c r="B10" s="14" t="s">
        <v>161</v>
      </c>
      <c r="C10" s="36" t="n">
        <f aca="false">C9*Assumptions!$F$20</f>
        <v>25</v>
      </c>
      <c r="D10" s="36" t="n">
        <f aca="false">D9*Assumptions!$F$20</f>
        <v>27</v>
      </c>
      <c r="E10" s="36" t="n">
        <f aca="false">E9*Assumptions!$F$20</f>
        <v>29.16</v>
      </c>
      <c r="F10" s="36" t="n">
        <f aca="false">F9*Assumptions!$F$20</f>
        <v>31.4928</v>
      </c>
      <c r="G10" s="36" t="n">
        <f aca="false">G9*Assumptions!$F$20</f>
        <v>34.012224</v>
      </c>
      <c r="H10" s="36" t="n">
        <f aca="false">H9*Assumptions!$F$20</f>
        <v>36.73320192</v>
      </c>
      <c r="I10" s="36" t="n">
        <f aca="false">I9*Assumptions!$F$20</f>
        <v>39.6718580736</v>
      </c>
      <c r="J10" s="36" t="n">
        <f aca="false">J9*Assumptions!$F$20</f>
        <v>42.845606719488</v>
      </c>
      <c r="K10" s="36" t="n">
        <f aca="false">K9*Assumptions!$F$20</f>
        <v>46.2732552570471</v>
      </c>
      <c r="L10" s="36" t="n">
        <f aca="false">L9*Assumptions!$F$20</f>
        <v>49.9751156776108</v>
      </c>
      <c r="M10" s="36" t="n">
        <f aca="false">M9*Assumptions!$F$20</f>
        <v>53.9731249318197</v>
      </c>
      <c r="N10" s="36" t="n">
        <f aca="false">N9*Assumptions!$F$20</f>
        <v>58.2909749263653</v>
      </c>
      <c r="O10" s="36" t="n">
        <f aca="false">O9*Assumptions!$F$20</f>
        <v>62.9542529204745</v>
      </c>
      <c r="P10" s="36" t="n">
        <f aca="false">P9*Assumptions!$F$20</f>
        <v>67.9905931541125</v>
      </c>
      <c r="Q10" s="36" t="n">
        <f aca="false">Q9*Assumptions!$F$20</f>
        <v>73.4298406064415</v>
      </c>
      <c r="R10" s="36" t="n">
        <f aca="false">R9*Assumptions!$F$20</f>
        <v>79.3042278549568</v>
      </c>
      <c r="S10" s="36" t="n">
        <f aca="false">S9*Assumptions!$F$20</f>
        <v>85.6485660833533</v>
      </c>
      <c r="T10" s="36" t="n">
        <f aca="false">T9*Assumptions!$F$20</f>
        <v>92.5004513700216</v>
      </c>
      <c r="U10" s="36" t="n">
        <f aca="false">U9*Assumptions!$F$20</f>
        <v>99.9004874796234</v>
      </c>
      <c r="V10" s="36" t="n">
        <f aca="false">V9*Assumptions!$F$20</f>
        <v>107.892526477993</v>
      </c>
      <c r="W10" s="36" t="n">
        <f aca="false">W9*Assumptions!$F$20</f>
        <v>116.523928596233</v>
      </c>
      <c r="X10" s="36" t="n">
        <f aca="false">X9*Assumptions!$F$20</f>
        <v>125.845842883931</v>
      </c>
      <c r="Y10" s="36" t="n">
        <f aca="false">Y9*Assumptions!$F$20</f>
        <v>135.913510314646</v>
      </c>
      <c r="Z10" s="36" t="n">
        <f aca="false">Z9*Assumptions!$F$20</f>
        <v>146.786591139818</v>
      </c>
      <c r="AA10" s="36" t="n">
        <f aca="false">AA9*Assumptions!$F$20</f>
        <v>158.529518431003</v>
      </c>
      <c r="AB10" s="36" t="n">
        <f aca="false">AB9*Assumptions!$F$20</f>
        <v>171.211879905483</v>
      </c>
      <c r="AC10" s="36" t="n">
        <f aca="false">AC9*Assumptions!$F$20</f>
        <v>184.908830297922</v>
      </c>
      <c r="AD10" s="36" t="n">
        <f aca="false">AD9*Assumptions!$F$20</f>
        <v>199.701536721756</v>
      </c>
      <c r="AE10" s="36" t="n">
        <f aca="false">AE9*Assumptions!$F$20</f>
        <v>215.677659659496</v>
      </c>
      <c r="AF10" s="36" t="n">
        <f aca="false">AF9*Assumptions!$F$20</f>
        <v>232.931872432256</v>
      </c>
      <c r="AG10" s="36" t="n">
        <f aca="false">AG9*Assumptions!$F$20</f>
        <v>251.566422226836</v>
      </c>
      <c r="AH10" s="36" t="n">
        <f aca="false">AH9*Assumptions!$F$20</f>
        <v>271.691736004983</v>
      </c>
      <c r="AI10" s="36" t="n">
        <f aca="false">AI9*Assumptions!$F$20</f>
        <v>293.427074885382</v>
      </c>
      <c r="AJ10" s="36" t="n">
        <f aca="false">AJ9*Assumptions!$F$20</f>
        <v>300</v>
      </c>
      <c r="AK10" s="36" t="n">
        <f aca="false">AK9*Assumptions!$F$20</f>
        <v>300</v>
      </c>
      <c r="AL10" s="36" t="n">
        <f aca="false">AL9*Assumptions!$F$20</f>
        <v>300</v>
      </c>
    </row>
    <row r="11" customFormat="false" ht="15" hidden="false" customHeight="false" outlineLevel="0" collapsed="false">
      <c r="A11" s="8" t="s">
        <v>166</v>
      </c>
      <c r="B11" s="14" t="s">
        <v>161</v>
      </c>
      <c r="C11" s="36" t="n">
        <f aca="false">MIN(Assumptions!$F$24,Assumptions!$F$22*(1+Assumptions!$F$23)^(C5-1))</f>
        <v>20</v>
      </c>
      <c r="D11" s="36" t="n">
        <f aca="false">MIN(Assumptions!$F$24,Assumptions!$F$22*(1+Assumptions!$F$23)^(D5-1))</f>
        <v>22.4</v>
      </c>
      <c r="E11" s="36" t="n">
        <f aca="false">MIN(Assumptions!$F$24,Assumptions!$F$22*(1+Assumptions!$F$23)^(E5-1))</f>
        <v>25.088</v>
      </c>
      <c r="F11" s="36" t="n">
        <f aca="false">MIN(Assumptions!$F$24,Assumptions!$F$22*(1+Assumptions!$F$23)^(F5-1))</f>
        <v>28.09856</v>
      </c>
      <c r="G11" s="36" t="n">
        <f aca="false">MIN(Assumptions!$F$24,Assumptions!$F$22*(1+Assumptions!$F$23)^(G5-1))</f>
        <v>31.4703872</v>
      </c>
      <c r="H11" s="36" t="n">
        <f aca="false">MIN(Assumptions!$F$24,Assumptions!$F$22*(1+Assumptions!$F$23)^(H5-1))</f>
        <v>35.246833664</v>
      </c>
      <c r="I11" s="36" t="n">
        <f aca="false">MIN(Assumptions!$F$24,Assumptions!$F$22*(1+Assumptions!$F$23)^(I5-1))</f>
        <v>39.47645370368</v>
      </c>
      <c r="J11" s="36" t="n">
        <f aca="false">MIN(Assumptions!$F$24,Assumptions!$F$22*(1+Assumptions!$F$23)^(J5-1))</f>
        <v>44.2136281481216</v>
      </c>
      <c r="K11" s="36" t="n">
        <f aca="false">MIN(Assumptions!$F$24,Assumptions!$F$22*(1+Assumptions!$F$23)^(K5-1))</f>
        <v>49.5192635258962</v>
      </c>
      <c r="L11" s="36" t="n">
        <f aca="false">MIN(Assumptions!$F$24,Assumptions!$F$22*(1+Assumptions!$F$23)^(L5-1))</f>
        <v>55.4615751490038</v>
      </c>
      <c r="M11" s="36" t="n">
        <f aca="false">MIN(Assumptions!$F$24,Assumptions!$F$22*(1+Assumptions!$F$23)^(M5-1))</f>
        <v>62.1169641668842</v>
      </c>
      <c r="N11" s="36" t="n">
        <f aca="false">MIN(Assumptions!$F$24,Assumptions!$F$22*(1+Assumptions!$F$23)^(N5-1))</f>
        <v>69.5709998669104</v>
      </c>
      <c r="O11" s="36" t="n">
        <f aca="false">MIN(Assumptions!$F$24,Assumptions!$F$22*(1+Assumptions!$F$23)^(O5-1))</f>
        <v>77.9195198509396</v>
      </c>
      <c r="P11" s="36" t="n">
        <f aca="false">MIN(Assumptions!$F$24,Assumptions!$F$22*(1+Assumptions!$F$23)^(P5-1))</f>
        <v>87.2698622330524</v>
      </c>
      <c r="Q11" s="36" t="n">
        <f aca="false">MIN(Assumptions!$F$24,Assumptions!$F$22*(1+Assumptions!$F$23)^(Q5-1))</f>
        <v>97.7422457010187</v>
      </c>
      <c r="R11" s="36" t="n">
        <f aca="false">MIN(Assumptions!$F$24,Assumptions!$F$22*(1+Assumptions!$F$23)^(R5-1))</f>
        <v>109.471315185141</v>
      </c>
      <c r="S11" s="36" t="n">
        <f aca="false">MIN(Assumptions!$F$24,Assumptions!$F$22*(1+Assumptions!$F$23)^(S5-1))</f>
        <v>122.607873007358</v>
      </c>
      <c r="T11" s="36" t="n">
        <f aca="false">MIN(Assumptions!$F$24,Assumptions!$F$22*(1+Assumptions!$F$23)^(T5-1))</f>
        <v>137.320817768241</v>
      </c>
      <c r="U11" s="36" t="n">
        <f aca="false">MIN(Assumptions!$F$24,Assumptions!$F$22*(1+Assumptions!$F$23)^(U5-1))</f>
        <v>153.79931590043</v>
      </c>
      <c r="V11" s="36" t="n">
        <f aca="false">MIN(Assumptions!$F$24,Assumptions!$F$22*(1+Assumptions!$F$23)^(V5-1))</f>
        <v>172.255233808481</v>
      </c>
      <c r="W11" s="36" t="n">
        <f aca="false">MIN(Assumptions!$F$24,Assumptions!$F$22*(1+Assumptions!$F$23)^(W5-1))</f>
        <v>192.925861865499</v>
      </c>
      <c r="X11" s="36" t="n">
        <f aca="false">MIN(Assumptions!$F$24,Assumptions!$F$22*(1+Assumptions!$F$23)^(X5-1))</f>
        <v>216.076965289359</v>
      </c>
      <c r="Y11" s="36" t="n">
        <f aca="false">MIN(Assumptions!$F$24,Assumptions!$F$22*(1+Assumptions!$F$23)^(Y5-1))</f>
        <v>242.006201124082</v>
      </c>
      <c r="Z11" s="36" t="n">
        <f aca="false">MIN(Assumptions!$F$24,Assumptions!$F$22*(1+Assumptions!$F$23)^(Z5-1))</f>
        <v>271.046945258972</v>
      </c>
      <c r="AA11" s="36" t="n">
        <f aca="false">MIN(Assumptions!$F$24,Assumptions!$F$22*(1+Assumptions!$F$23)^(AA5-1))</f>
        <v>303.572578690049</v>
      </c>
      <c r="AB11" s="36" t="n">
        <f aca="false">MIN(Assumptions!$F$24,Assumptions!$F$22*(1+Assumptions!$F$23)^(AB5-1))</f>
        <v>340.001288132854</v>
      </c>
      <c r="AC11" s="36" t="n">
        <f aca="false">MIN(Assumptions!$F$24,Assumptions!$F$22*(1+Assumptions!$F$23)^(AC5-1))</f>
        <v>380.801442708797</v>
      </c>
      <c r="AD11" s="36" t="n">
        <f aca="false">MIN(Assumptions!$F$24,Assumptions!$F$22*(1+Assumptions!$F$23)^(AD5-1))</f>
        <v>400</v>
      </c>
      <c r="AE11" s="36" t="n">
        <f aca="false">MIN(Assumptions!$F$24,Assumptions!$F$22*(1+Assumptions!$F$23)^(AE5-1))</f>
        <v>400</v>
      </c>
      <c r="AF11" s="36" t="n">
        <f aca="false">MIN(Assumptions!$F$24,Assumptions!$F$22*(1+Assumptions!$F$23)^(AF5-1))</f>
        <v>400</v>
      </c>
      <c r="AG11" s="36" t="n">
        <f aca="false">MIN(Assumptions!$F$24,Assumptions!$F$22*(1+Assumptions!$F$23)^(AG5-1))</f>
        <v>400</v>
      </c>
      <c r="AH11" s="36" t="n">
        <f aca="false">MIN(Assumptions!$F$24,Assumptions!$F$22*(1+Assumptions!$F$23)^(AH5-1))</f>
        <v>400</v>
      </c>
      <c r="AI11" s="36" t="n">
        <f aca="false">MIN(Assumptions!$F$24,Assumptions!$F$22*(1+Assumptions!$F$23)^(AI5-1))</f>
        <v>400</v>
      </c>
      <c r="AJ11" s="36" t="n">
        <f aca="false">MIN(Assumptions!$F$24,Assumptions!$F$22*(1+Assumptions!$F$23)^(AJ5-1))</f>
        <v>400</v>
      </c>
      <c r="AK11" s="36" t="n">
        <f aca="false">MIN(Assumptions!$F$24,Assumptions!$F$22*(1+Assumptions!$F$23)^(AK5-1))</f>
        <v>400</v>
      </c>
      <c r="AL11" s="36" t="n">
        <f aca="false">MIN(Assumptions!$F$24,Assumptions!$F$22*(1+Assumptions!$F$23)^(AL5-1))</f>
        <v>400</v>
      </c>
    </row>
    <row r="12" customFormat="false" ht="15" hidden="false" customHeight="false" outlineLevel="0" collapsed="false">
      <c r="A12" s="8" t="s">
        <v>167</v>
      </c>
      <c r="B12" s="14" t="s">
        <v>161</v>
      </c>
      <c r="C12" s="36" t="n">
        <f aca="false">C22*Assumptions!$F$25</f>
        <v>0</v>
      </c>
      <c r="D12" s="36" t="n">
        <f aca="false">D22*Assumptions!$F$25</f>
        <v>0.1485</v>
      </c>
      <c r="E12" s="36" t="n">
        <f aca="false">E22*Assumptions!$F$25</f>
        <v>0.30488205</v>
      </c>
      <c r="F12" s="36" t="n">
        <f aca="false">F22*Assumptions!$F$25</f>
        <v>0.470357758365</v>
      </c>
      <c r="G12" s="36" t="n">
        <f aca="false">G22*Assumptions!$F$25</f>
        <v>0.646244376194884</v>
      </c>
      <c r="H12" s="36" t="n">
        <f aca="false">H22*Assumptions!$F$25</f>
        <v>0.833977795777046</v>
      </c>
      <c r="I12" s="36" t="n">
        <f aca="false">I22*Assumptions!$F$25</f>
        <v>1.03512693361692</v>
      </c>
      <c r="J12" s="36" t="n">
        <f aca="false">J22*Assumptions!$F$25</f>
        <v>1.25140966170893</v>
      </c>
      <c r="K12" s="36" t="n">
        <f aca="false">K22*Assumptions!$F$25</f>
        <v>1.48471046948916</v>
      </c>
      <c r="L12" s="36" t="n">
        <f aca="false">L22*Assumptions!$F$25</f>
        <v>1.73710005991222</v>
      </c>
      <c r="M12" s="36" t="n">
        <f aca="false">M22*Assumptions!$F$25</f>
        <v>2.0108571065808</v>
      </c>
      <c r="N12" s="36" t="n">
        <f aca="false">N22*Assumptions!$F$25</f>
        <v>2.30849242512028</v>
      </c>
      <c r="O12" s="36" t="n">
        <f aca="false">O22*Assumptions!$F$25</f>
        <v>2.63277584136038</v>
      </c>
      <c r="P12" s="36" t="n">
        <f aca="false">P22*Assumptions!$F$25</f>
        <v>2.97785607172937</v>
      </c>
      <c r="Q12" s="36" t="n">
        <f aca="false">Q22*Assumptions!$F$25</f>
        <v>3.35509396199349</v>
      </c>
      <c r="R12" s="36" t="n">
        <f aca="false">R22*Assumptions!$F$25</f>
        <v>3.76813757922447</v>
      </c>
      <c r="S12" s="36" t="n">
        <f aca="false">S22*Assumptions!$F$25</f>
        <v>4.22102546920583</v>
      </c>
      <c r="T12" s="36" t="n">
        <f aca="false">T22*Assumptions!$F$25</f>
        <v>4.71823147604989</v>
      </c>
      <c r="U12" s="36" t="n">
        <f aca="false">U22*Assumptions!$F$25</f>
        <v>5.26471467701003</v>
      </c>
      <c r="V12" s="36" t="n">
        <f aca="false">V22*Assumptions!$F$25</f>
        <v>5.86597503100345</v>
      </c>
      <c r="W12" s="36" t="n">
        <f aca="false">W22*Assumptions!$F$25</f>
        <v>6.52811540962776</v>
      </c>
      <c r="X12" s="36" t="n">
        <f aca="false">X22*Assumptions!$F$25</f>
        <v>7.25791075804881</v>
      </c>
      <c r="Y12" s="36" t="n">
        <f aca="false">Y22*Assumptions!$F$25</f>
        <v>8.06288522104797</v>
      </c>
      <c r="Z12" s="36" t="n">
        <f aca="false">Z22*Assumptions!$F$25</f>
        <v>8.95139816785185</v>
      </c>
      <c r="AA12" s="36" t="n">
        <f aca="false">AA22*Assumptions!$F$25</f>
        <v>9.93274015936637</v>
      </c>
      <c r="AB12" s="36" t="n">
        <f aca="false">AB22*Assumptions!$F$25</f>
        <v>11.0110030244877</v>
      </c>
      <c r="AC12" s="36" t="n">
        <f aca="false">AC22*Assumptions!$F$25</f>
        <v>12.2032611097989</v>
      </c>
      <c r="AD12" s="36" t="n">
        <f aca="false">AD22*Assumptions!$F$25</f>
        <v>13.5222279654</v>
      </c>
      <c r="AE12" s="36" t="n">
        <f aca="false">AE22*Assumptions!$F$25</f>
        <v>14.8946081101319</v>
      </c>
      <c r="AF12" s="36" t="n">
        <f aca="false">AF22*Assumptions!$F$25</f>
        <v>16.2586044807413</v>
      </c>
      <c r="AG12" s="36" t="n">
        <f aca="false">AG22*Assumptions!$F$25</f>
        <v>17.6188028152386</v>
      </c>
      <c r="AH12" s="36" t="n">
        <f aca="false">AH22*Assumptions!$F$25</f>
        <v>18.9798304549707</v>
      </c>
      <c r="AI12" s="36" t="n">
        <f aca="false">AI22*Assumptions!$F$25</f>
        <v>20.3463756182147</v>
      </c>
      <c r="AJ12" s="36" t="n">
        <f aca="false">AJ22*Assumptions!$F$25</f>
        <v>21.7232069741321</v>
      </c>
      <c r="AK12" s="36" t="n">
        <f aca="false">AK22*Assumptions!$F$25</f>
        <v>23.0594194782986</v>
      </c>
      <c r="AL12" s="36" t="n">
        <f aca="false">AL22*Assumptions!$F$25</f>
        <v>24.3346081727717</v>
      </c>
    </row>
    <row r="13" customFormat="false" ht="15" hidden="false" customHeight="false" outlineLevel="0" collapsed="false">
      <c r="A13" s="37" t="s">
        <v>168</v>
      </c>
      <c r="B13" s="38" t="s">
        <v>161</v>
      </c>
      <c r="C13" s="39" t="n">
        <f aca="false">SUM(C10:C12)</f>
        <v>45</v>
      </c>
      <c r="D13" s="39" t="n">
        <f aca="false">SUM(D10:D12)</f>
        <v>49.5485</v>
      </c>
      <c r="E13" s="39" t="n">
        <f aca="false">SUM(E10:E12)</f>
        <v>54.55288205</v>
      </c>
      <c r="F13" s="39" t="n">
        <f aca="false">SUM(F10:F12)</f>
        <v>60.061717758365</v>
      </c>
      <c r="G13" s="39" t="n">
        <f aca="false">SUM(G10:G12)</f>
        <v>66.1288555761949</v>
      </c>
      <c r="H13" s="39" t="n">
        <f aca="false">SUM(H10:H12)</f>
        <v>72.8140133797771</v>
      </c>
      <c r="I13" s="39" t="n">
        <f aca="false">SUM(I10:I12)</f>
        <v>80.183438710897</v>
      </c>
      <c r="J13" s="39" t="n">
        <f aca="false">SUM(J10:J12)</f>
        <v>88.3106445293186</v>
      </c>
      <c r="K13" s="39" t="n">
        <f aca="false">SUM(K10:K12)</f>
        <v>97.2772292524325</v>
      </c>
      <c r="L13" s="39" t="n">
        <f aca="false">SUM(L10:L12)</f>
        <v>107.173790886527</v>
      </c>
      <c r="M13" s="39" t="n">
        <f aca="false">SUM(M10:M12)</f>
        <v>118.100946205285</v>
      </c>
      <c r="N13" s="39" t="n">
        <f aca="false">SUM(N10:N12)</f>
        <v>130.170467218396</v>
      </c>
      <c r="O13" s="39" t="n">
        <f aca="false">SUM(O10:O12)</f>
        <v>143.506548612774</v>
      </c>
      <c r="P13" s="39" t="n">
        <f aca="false">SUM(P10:P12)</f>
        <v>158.238311458894</v>
      </c>
      <c r="Q13" s="39" t="n">
        <f aca="false">SUM(Q10:Q12)</f>
        <v>174.527180269454</v>
      </c>
      <c r="R13" s="39" t="n">
        <f aca="false">SUM(R10:R12)</f>
        <v>192.543680619322</v>
      </c>
      <c r="S13" s="39" t="n">
        <f aca="false">SUM(S10:S12)</f>
        <v>212.477464559917</v>
      </c>
      <c r="T13" s="39" t="n">
        <f aca="false">SUM(T10:T12)</f>
        <v>234.539500614312</v>
      </c>
      <c r="U13" s="39" t="n">
        <f aca="false">SUM(U10:U12)</f>
        <v>258.964518057063</v>
      </c>
      <c r="V13" s="39" t="n">
        <f aca="false">SUM(V10:V12)</f>
        <v>286.013735317478</v>
      </c>
      <c r="W13" s="39" t="n">
        <f aca="false">SUM(W10:W12)</f>
        <v>315.97790587136</v>
      </c>
      <c r="X13" s="39" t="n">
        <f aca="false">SUM(X10:X12)</f>
        <v>349.180718931339</v>
      </c>
      <c r="Y13" s="39" t="n">
        <f aca="false">SUM(Y10:Y12)</f>
        <v>385.982596659776</v>
      </c>
      <c r="Z13" s="39" t="n">
        <f aca="false">SUM(Z10:Z12)</f>
        <v>426.784934566641</v>
      </c>
      <c r="AA13" s="39" t="n">
        <f aca="false">SUM(AA10:AA12)</f>
        <v>472.034837280418</v>
      </c>
      <c r="AB13" s="39" t="n">
        <f aca="false">SUM(AB10:AB12)</f>
        <v>522.224171062825</v>
      </c>
      <c r="AC13" s="39" t="n">
        <f aca="false">SUM(AC10:AC12)</f>
        <v>577.913534116518</v>
      </c>
      <c r="AD13" s="39" t="n">
        <f aca="false">SUM(AD10:AD12)</f>
        <v>613.223764687156</v>
      </c>
      <c r="AE13" s="39" t="n">
        <f aca="false">SUM(AE10:AE12)</f>
        <v>630.572267769628</v>
      </c>
      <c r="AF13" s="39" t="n">
        <f aca="false">SUM(AF10:AF12)</f>
        <v>649.190476912997</v>
      </c>
      <c r="AG13" s="39" t="n">
        <f aca="false">SUM(AG10:AG12)</f>
        <v>669.185225042075</v>
      </c>
      <c r="AH13" s="39" t="n">
        <f aca="false">SUM(AH10:AH12)</f>
        <v>690.671566459954</v>
      </c>
      <c r="AI13" s="39" t="n">
        <f aca="false">SUM(AI10:AI12)</f>
        <v>713.773450503597</v>
      </c>
      <c r="AJ13" s="39" t="n">
        <f aca="false">SUM(AJ10:AJ12)</f>
        <v>721.723206974132</v>
      </c>
      <c r="AK13" s="39" t="n">
        <f aca="false">SUM(AK10:AK12)</f>
        <v>723.059419478299</v>
      </c>
      <c r="AL13" s="39" t="n">
        <f aca="false">SUM(AL10:AL12)</f>
        <v>724.334608172772</v>
      </c>
    </row>
    <row r="14" customFormat="false" ht="15" hidden="false" customHeight="false" outlineLevel="0" collapsed="false">
      <c r="A14" s="5" t="s">
        <v>169</v>
      </c>
      <c r="B14" s="14" t="s">
        <v>161</v>
      </c>
      <c r="C14" s="40" t="n">
        <f aca="false">C13*Assumptions!$F$21</f>
        <v>9.9</v>
      </c>
      <c r="D14" s="40" t="n">
        <f aca="false">D13*Assumptions!$F$21</f>
        <v>10.90067</v>
      </c>
      <c r="E14" s="40" t="n">
        <f aca="false">E13*Assumptions!$F$21</f>
        <v>12.001634051</v>
      </c>
      <c r="F14" s="40" t="n">
        <f aca="false">F13*Assumptions!$F$21</f>
        <v>13.2135779068403</v>
      </c>
      <c r="G14" s="40" t="n">
        <f aca="false">G13*Assumptions!$F$21</f>
        <v>14.5483482267629</v>
      </c>
      <c r="H14" s="40" t="n">
        <f aca="false">H13*Assumptions!$F$21</f>
        <v>16.019082943551</v>
      </c>
      <c r="I14" s="40" t="n">
        <f aca="false">I13*Assumptions!$F$21</f>
        <v>17.6403565163973</v>
      </c>
      <c r="J14" s="40" t="n">
        <f aca="false">J13*Assumptions!$F$21</f>
        <v>19.4283417964501</v>
      </c>
      <c r="K14" s="40" t="n">
        <f aca="false">K13*Assumptions!$F$21</f>
        <v>21.4009904355351</v>
      </c>
      <c r="L14" s="40" t="n">
        <f aca="false">L13*Assumptions!$F$21</f>
        <v>23.5782339950359</v>
      </c>
      <c r="M14" s="40" t="n">
        <f aca="false">M13*Assumptions!$F$21</f>
        <v>25.9822081651626</v>
      </c>
      <c r="N14" s="40" t="n">
        <f aca="false">N13*Assumptions!$F$21</f>
        <v>28.6375027880471</v>
      </c>
      <c r="O14" s="40" t="n">
        <f aca="false">O13*Assumptions!$F$21</f>
        <v>31.5714406948104</v>
      </c>
      <c r="P14" s="40" t="n">
        <f aca="false">P13*Assumptions!$F$21</f>
        <v>34.8124285209567</v>
      </c>
      <c r="Q14" s="40" t="n">
        <f aca="false">Q13*Assumptions!$F$21</f>
        <v>38.3959796592798</v>
      </c>
      <c r="R14" s="40" t="n">
        <f aca="false">R13*Assumptions!$F$21</f>
        <v>42.3596097362509</v>
      </c>
      <c r="S14" s="40" t="n">
        <f aca="false">S13*Assumptions!$F$21</f>
        <v>46.7450422031818</v>
      </c>
      <c r="T14" s="40" t="n">
        <f aca="false">T13*Assumptions!$F$21</f>
        <v>51.5986901351487</v>
      </c>
      <c r="U14" s="40" t="n">
        <f aca="false">U13*Assumptions!$F$21</f>
        <v>56.9721939725539</v>
      </c>
      <c r="V14" s="40" t="n">
        <f aca="false">V13*Assumptions!$F$21</f>
        <v>62.9230217698452</v>
      </c>
      <c r="W14" s="40" t="n">
        <f aca="false">W13*Assumptions!$F$21</f>
        <v>69.5151392916991</v>
      </c>
      <c r="X14" s="40" t="n">
        <f aca="false">X13*Assumptions!$F$21</f>
        <v>76.8197581648946</v>
      </c>
      <c r="Y14" s="40" t="n">
        <f aca="false">Y13*Assumptions!$F$21</f>
        <v>84.9161712651507</v>
      </c>
      <c r="Z14" s="40" t="n">
        <f aca="false">Z13*Assumptions!$F$21</f>
        <v>93.8926856046611</v>
      </c>
      <c r="AA14" s="40" t="n">
        <f aca="false">AA13*Assumptions!$F$21</f>
        <v>103.847664201692</v>
      </c>
      <c r="AB14" s="40" t="n">
        <f aca="false">AB13*Assumptions!$F$21</f>
        <v>114.889317633822</v>
      </c>
      <c r="AC14" s="40" t="n">
        <f aca="false">AC13*Assumptions!$F$21</f>
        <v>127.140977505634</v>
      </c>
      <c r="AD14" s="40" t="n">
        <f aca="false">AD13*Assumptions!$F$21</f>
        <v>134.909228231174</v>
      </c>
      <c r="AE14" s="40" t="n">
        <f aca="false">AE13*Assumptions!$F$21</f>
        <v>138.725898909318</v>
      </c>
      <c r="AF14" s="40" t="n">
        <f aca="false">AF13*Assumptions!$F$21</f>
        <v>142.821904920859</v>
      </c>
      <c r="AG14" s="40" t="n">
        <f aca="false">AG13*Assumptions!$F$21</f>
        <v>147.220749509256</v>
      </c>
      <c r="AH14" s="40" t="n">
        <f aca="false">AH13*Assumptions!$F$21</f>
        <v>151.94774462119</v>
      </c>
      <c r="AI14" s="40" t="n">
        <f aca="false">AI13*Assumptions!$F$21</f>
        <v>157.030159110791</v>
      </c>
      <c r="AJ14" s="40" t="n">
        <f aca="false">AJ13*Assumptions!$F$21</f>
        <v>158.779105534309</v>
      </c>
      <c r="AK14" s="40" t="n">
        <f aca="false">AK13*Assumptions!$F$21</f>
        <v>159.073072285226</v>
      </c>
      <c r="AL14" s="40" t="n">
        <f aca="false">AL13*Assumptions!$F$21</f>
        <v>159.35361379801</v>
      </c>
    </row>
    <row r="15" customFormat="false" ht="15" hidden="false" customHeight="false" outlineLevel="0" collapsed="false">
      <c r="A15" s="8" t="s">
        <v>170</v>
      </c>
      <c r="B15" s="14" t="s">
        <v>161</v>
      </c>
      <c r="C15" s="36" t="n">
        <f aca="false">C14*(1-Assumptions!$F$13)</f>
        <v>7.92</v>
      </c>
      <c r="D15" s="36" t="n">
        <f aca="false">D14*(1-Assumptions!$F$13)</f>
        <v>8.720536</v>
      </c>
      <c r="E15" s="36" t="n">
        <f aca="false">E14*(1-Assumptions!$F$13)</f>
        <v>9.6013072408</v>
      </c>
      <c r="F15" s="36" t="n">
        <f aca="false">F14*(1-Assumptions!$F$13)</f>
        <v>10.5708623254722</v>
      </c>
      <c r="G15" s="36" t="n">
        <f aca="false">G14*(1-Assumptions!$F$13)</f>
        <v>11.6386785814103</v>
      </c>
      <c r="H15" s="36" t="n">
        <f aca="false">H14*(1-Assumptions!$F$13)</f>
        <v>12.8152663548408</v>
      </c>
      <c r="I15" s="36" t="n">
        <f aca="false">I14*(1-Assumptions!$F$13)</f>
        <v>14.1122852131179</v>
      </c>
      <c r="J15" s="36" t="n">
        <f aca="false">J14*(1-Assumptions!$F$13)</f>
        <v>15.5426734371601</v>
      </c>
      <c r="K15" s="36" t="n">
        <f aca="false">K14*(1-Assumptions!$F$13)</f>
        <v>17.1207923484281</v>
      </c>
      <c r="L15" s="36" t="n">
        <f aca="false">L14*(1-Assumptions!$F$13)</f>
        <v>18.8625871960287</v>
      </c>
      <c r="M15" s="36" t="n">
        <f aca="false">M14*(1-Assumptions!$F$13)</f>
        <v>20.7857665321301</v>
      </c>
      <c r="N15" s="36" t="n">
        <f aca="false">N14*(1-Assumptions!$F$13)</f>
        <v>22.9100022304377</v>
      </c>
      <c r="O15" s="36" t="n">
        <f aca="false">O14*(1-Assumptions!$F$13)</f>
        <v>25.2571525558483</v>
      </c>
      <c r="P15" s="36" t="n">
        <f aca="false">P14*(1-Assumptions!$F$13)</f>
        <v>27.8499428167654</v>
      </c>
      <c r="Q15" s="36" t="n">
        <f aca="false">Q14*(1-Assumptions!$F$13)</f>
        <v>30.7167837274238</v>
      </c>
      <c r="R15" s="36" t="n">
        <f aca="false">R14*(1-Assumptions!$F$13)</f>
        <v>33.8876877890007</v>
      </c>
      <c r="S15" s="36" t="n">
        <f aca="false">S14*(1-Assumptions!$F$13)</f>
        <v>37.3960337625454</v>
      </c>
      <c r="T15" s="36" t="n">
        <f aca="false">T14*(1-Assumptions!$F$13)</f>
        <v>41.278952108119</v>
      </c>
      <c r="U15" s="36" t="n">
        <f aca="false">U14*(1-Assumptions!$F$13)</f>
        <v>45.5777551780431</v>
      </c>
      <c r="V15" s="36" t="n">
        <f aca="false">V14*(1-Assumptions!$F$13)</f>
        <v>50.3384174158761</v>
      </c>
      <c r="W15" s="36" t="n">
        <f aca="false">W14*(1-Assumptions!$F$13)</f>
        <v>55.6121114333593</v>
      </c>
      <c r="X15" s="36" t="n">
        <f aca="false">X14*(1-Assumptions!$F$13)</f>
        <v>61.4558065319157</v>
      </c>
      <c r="Y15" s="36" t="n">
        <f aca="false">Y14*(1-Assumptions!$F$13)</f>
        <v>67.9329370121206</v>
      </c>
      <c r="Z15" s="36" t="n">
        <f aca="false">Z14*(1-Assumptions!$F$13)</f>
        <v>75.1141484837289</v>
      </c>
      <c r="AA15" s="36" t="n">
        <f aca="false">AA14*(1-Assumptions!$F$13)</f>
        <v>83.0781313613536</v>
      </c>
      <c r="AB15" s="36" t="n">
        <f aca="false">AB14*(1-Assumptions!$F$13)</f>
        <v>91.9114541070572</v>
      </c>
      <c r="AC15" s="36" t="n">
        <f aca="false">AC14*(1-Assumptions!$F$13)</f>
        <v>101.712782004507</v>
      </c>
      <c r="AD15" s="36" t="n">
        <f aca="false">AD14*(1-Assumptions!$F$13)</f>
        <v>107.927382584939</v>
      </c>
      <c r="AE15" s="36" t="n">
        <f aca="false">AE14*(1-Assumptions!$F$13)</f>
        <v>110.980719127455</v>
      </c>
      <c r="AF15" s="36" t="n">
        <f aca="false">AF14*(1-Assumptions!$F$13)</f>
        <v>114.257523936687</v>
      </c>
      <c r="AG15" s="36" t="n">
        <f aca="false">AG14*(1-Assumptions!$F$13)</f>
        <v>117.776599607405</v>
      </c>
      <c r="AH15" s="36" t="n">
        <f aca="false">AH14*(1-Assumptions!$F$13)</f>
        <v>121.558195696952</v>
      </c>
      <c r="AI15" s="36" t="n">
        <f aca="false">AI14*(1-Assumptions!$F$13)</f>
        <v>125.624127288633</v>
      </c>
      <c r="AJ15" s="36" t="n">
        <f aca="false">AJ14*(1-Assumptions!$F$13)</f>
        <v>127.023284427447</v>
      </c>
      <c r="AK15" s="36" t="n">
        <f aca="false">AK14*(1-Assumptions!$F$13)</f>
        <v>127.258457828181</v>
      </c>
      <c r="AL15" s="36" t="n">
        <f aca="false">AL14*(1-Assumptions!$F$13)</f>
        <v>127.482891038408</v>
      </c>
    </row>
    <row r="16" customFormat="false" ht="15" hidden="false" customHeight="false" outlineLevel="0" collapsed="false">
      <c r="A16" s="8" t="s">
        <v>171</v>
      </c>
      <c r="B16" s="14" t="s">
        <v>161</v>
      </c>
      <c r="C16" s="36" t="n">
        <f aca="false">C14*Assumptions!$F$13</f>
        <v>1.98</v>
      </c>
      <c r="D16" s="36" t="n">
        <f aca="false">D14*Assumptions!$F$13</f>
        <v>2.180134</v>
      </c>
      <c r="E16" s="36" t="n">
        <f aca="false">E14*Assumptions!$F$13</f>
        <v>2.4003268102</v>
      </c>
      <c r="F16" s="36" t="n">
        <f aca="false">F14*Assumptions!$F$13</f>
        <v>2.64271558136806</v>
      </c>
      <c r="G16" s="36" t="n">
        <f aca="false">G14*Assumptions!$F$13</f>
        <v>2.90966964535258</v>
      </c>
      <c r="H16" s="36" t="n">
        <f aca="false">H14*Assumptions!$F$13</f>
        <v>3.20381658871019</v>
      </c>
      <c r="I16" s="36" t="n">
        <f aca="false">I14*Assumptions!$F$13</f>
        <v>3.52807130327947</v>
      </c>
      <c r="J16" s="36" t="n">
        <f aca="false">J14*Assumptions!$F$13</f>
        <v>3.88566835929002</v>
      </c>
      <c r="K16" s="36" t="n">
        <f aca="false">K14*Assumptions!$F$13</f>
        <v>4.28019808710703</v>
      </c>
      <c r="L16" s="36" t="n">
        <f aca="false">L14*Assumptions!$F$13</f>
        <v>4.71564679900718</v>
      </c>
      <c r="M16" s="36" t="n">
        <f aca="false">M14*Assumptions!$F$13</f>
        <v>5.19644163303253</v>
      </c>
      <c r="N16" s="36" t="n">
        <f aca="false">N14*Assumptions!$F$13</f>
        <v>5.72750055760942</v>
      </c>
      <c r="O16" s="36" t="n">
        <f aca="false">O14*Assumptions!$F$13</f>
        <v>6.31428813896208</v>
      </c>
      <c r="P16" s="36" t="n">
        <f aca="false">P14*Assumptions!$F$13</f>
        <v>6.96248570419135</v>
      </c>
      <c r="Q16" s="36" t="n">
        <f aca="false">Q14*Assumptions!$F$13</f>
        <v>7.67919593185596</v>
      </c>
      <c r="R16" s="36" t="n">
        <f aca="false">R14*Assumptions!$F$13</f>
        <v>8.47192194725018</v>
      </c>
      <c r="S16" s="36" t="n">
        <f aca="false">S14*Assumptions!$F$13</f>
        <v>9.34900844063635</v>
      </c>
      <c r="T16" s="36" t="n">
        <f aca="false">T14*Assumptions!$F$13</f>
        <v>10.3197380270297</v>
      </c>
      <c r="U16" s="36" t="n">
        <f aca="false">U14*Assumptions!$F$13</f>
        <v>11.3944387945108</v>
      </c>
      <c r="V16" s="36" t="n">
        <f aca="false">V14*Assumptions!$F$13</f>
        <v>12.584604353969</v>
      </c>
      <c r="W16" s="36" t="n">
        <f aca="false">W14*Assumptions!$F$13</f>
        <v>13.9030278583398</v>
      </c>
      <c r="X16" s="36" t="n">
        <f aca="false">X14*Assumptions!$F$13</f>
        <v>15.3639516329789</v>
      </c>
      <c r="Y16" s="36" t="n">
        <f aca="false">Y14*Assumptions!$F$13</f>
        <v>16.9832342530301</v>
      </c>
      <c r="Z16" s="36" t="n">
        <f aca="false">Z14*Assumptions!$F$13</f>
        <v>18.7785371209322</v>
      </c>
      <c r="AA16" s="36" t="n">
        <f aca="false">AA14*Assumptions!$F$13</f>
        <v>20.7695328403384</v>
      </c>
      <c r="AB16" s="36" t="n">
        <f aca="false">AB14*Assumptions!$F$13</f>
        <v>22.9778635267643</v>
      </c>
      <c r="AC16" s="36" t="n">
        <f aca="false">AC14*Assumptions!$F$13</f>
        <v>25.4281955011268</v>
      </c>
      <c r="AD16" s="36" t="n">
        <f aca="false">AD14*Assumptions!$F$13</f>
        <v>26.9818456462349</v>
      </c>
      <c r="AE16" s="36" t="n">
        <f aca="false">AE14*Assumptions!$F$13</f>
        <v>27.7451797818636</v>
      </c>
      <c r="AF16" s="36" t="n">
        <f aca="false">AF14*Assumptions!$F$13</f>
        <v>28.5643809841719</v>
      </c>
      <c r="AG16" s="36" t="n">
        <f aca="false">AG14*Assumptions!$F$13</f>
        <v>29.4441499018513</v>
      </c>
      <c r="AH16" s="36" t="n">
        <f aca="false">AH14*Assumptions!$F$13</f>
        <v>30.389548924238</v>
      </c>
      <c r="AI16" s="36" t="n">
        <f aca="false">AI14*Assumptions!$F$13</f>
        <v>31.4060318221582</v>
      </c>
      <c r="AJ16" s="36" t="n">
        <f aca="false">AJ14*Assumptions!$F$13</f>
        <v>31.7558211068618</v>
      </c>
      <c r="AK16" s="36" t="n">
        <f aca="false">AK14*Assumptions!$F$13</f>
        <v>31.8146144570451</v>
      </c>
      <c r="AL16" s="36" t="n">
        <f aca="false">AL14*Assumptions!$F$13</f>
        <v>31.870722759602</v>
      </c>
    </row>
    <row r="18" customFormat="false" ht="15" hidden="false" customHeight="false" outlineLevel="0" collapsed="false">
      <c r="A18" s="3" t="s">
        <v>172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customFormat="false" ht="15" hidden="false" customHeight="false" outlineLevel="0" collapsed="false">
      <c r="A19" s="8" t="s">
        <v>173</v>
      </c>
      <c r="B19" s="14" t="s">
        <v>161</v>
      </c>
      <c r="C19" s="36" t="n">
        <f aca="false">SUM(C27:C62)</f>
        <v>7.92</v>
      </c>
      <c r="D19" s="36" t="n">
        <f aca="false">SUM(D27:D62)</f>
        <v>16.165336</v>
      </c>
      <c r="E19" s="36" t="n">
        <f aca="false">SUM(E27:E62)</f>
        <v>24.7967230808</v>
      </c>
      <c r="F19" s="36" t="n">
        <f aca="false">SUM(F27:F62)</f>
        <v>33.8797820214242</v>
      </c>
      <c r="G19" s="36" t="n">
        <f aca="false">SUM(G27:G62)</f>
        <v>43.4856736815491</v>
      </c>
      <c r="H19" s="36" t="n">
        <f aca="false">SUM(H27:H62)</f>
        <v>53.6917996154969</v>
      </c>
      <c r="I19" s="36" t="n">
        <f aca="false">SUM(I27:I62)</f>
        <v>64.582576851685</v>
      </c>
      <c r="J19" s="36" t="n">
        <f aca="false">SUM(J27:J62)</f>
        <v>76.2502956777439</v>
      </c>
      <c r="K19" s="36" t="n">
        <f aca="false">SUM(K27:K62)</f>
        <v>88.7960702855074</v>
      </c>
      <c r="L19" s="36" t="n">
        <f aca="false">SUM(L27:L62)</f>
        <v>102.330893264406</v>
      </c>
      <c r="M19" s="36" t="n">
        <f aca="false">SUM(M27:M62)</f>
        <v>116.976806200671</v>
      </c>
      <c r="N19" s="36" t="n">
        <f aca="false">SUM(N27:N62)</f>
        <v>132.868200059069</v>
      </c>
      <c r="O19" s="36" t="n">
        <f aca="false">SUM(O27:O62)</f>
        <v>150.153260611373</v>
      </c>
      <c r="P19" s="36" t="n">
        <f aca="false">SUM(P27:P62)</f>
        <v>168.994007791456</v>
      </c>
      <c r="Q19" s="36" t="n">
        <f aca="false">SUM(Q27:Q62)</f>
        <v>189.571151051392</v>
      </c>
      <c r="R19" s="36" t="n">
        <f aca="false">SUM(R27:R62)</f>
        <v>212.08456977731</v>
      </c>
      <c r="S19" s="36" t="n">
        <f aca="false">SUM(S27:S62)</f>
        <v>236.755529353216</v>
      </c>
      <c r="T19" s="36" t="n">
        <f aca="false">SUM(T27:T62)</f>
        <v>263.829149700142</v>
      </c>
      <c r="U19" s="36" t="n">
        <f aca="false">SUM(U27:U62)</f>
        <v>293.577155896177</v>
      </c>
      <c r="V19" s="36" t="n">
        <f aca="false">SUM(V27:V62)</f>
        <v>326.300943958282</v>
      </c>
      <c r="W19" s="36" t="n">
        <f aca="false">SUM(W27:W62)</f>
        <v>362.334998754145</v>
      </c>
      <c r="X19" s="36" t="n">
        <f aca="false">SUM(X27:X62)</f>
        <v>402.050705360812</v>
      </c>
      <c r="Y19" s="36" t="n">
        <f aca="false">SUM(Y27:Y62)</f>
        <v>445.860600051284</v>
      </c>
      <c r="Z19" s="36" t="n">
        <f aca="false">SUM(Z27:Z62)</f>
        <v>494.223112531935</v>
      </c>
      <c r="AA19" s="36" t="n">
        <f aca="false">SUM(AA27:AA62)</f>
        <v>547.647857141373</v>
      </c>
      <c r="AB19" s="36" t="n">
        <f aca="false">SUM(AB27:AB62)</f>
        <v>606.700439819948</v>
      </c>
      <c r="AC19" s="36" t="n">
        <f aca="false">SUM(AC27:AC62)</f>
        <v>672.011195435258</v>
      </c>
      <c r="AD19" s="36" t="n">
        <f aca="false">SUM(AD27:AD62)</f>
        <v>739.617906294082</v>
      </c>
      <c r="AE19" s="36" t="n">
        <f aca="false">SUM(AE27:AE62)</f>
        <v>806.221551043891</v>
      </c>
      <c r="AF19" s="36" t="n">
        <f aca="false">SUM(AF27:AF62)</f>
        <v>872.105781917945</v>
      </c>
      <c r="AG19" s="36" t="n">
        <f aca="false">SUM(AG27:AG62)</f>
        <v>937.556034610274</v>
      </c>
      <c r="AH19" s="36" t="n">
        <f aca="false">SUM(AH27:AH62)</f>
        <v>1002.86086823061</v>
      </c>
      <c r="AI19" s="36" t="n">
        <f aca="false">SUM(AI27:AI62)</f>
        <v>1068.31334342541</v>
      </c>
      <c r="AJ19" s="36" t="n">
        <f aca="false">SUM(AJ27:AJ62)</f>
        <v>1131.23782724733</v>
      </c>
      <c r="AK19" s="36" t="n">
        <f aca="false">SUM(AK27:AK62)</f>
        <v>1190.62201544067</v>
      </c>
      <c r="AL19" s="36" t="n">
        <f aca="false">SUM(AL27:AL62)</f>
        <v>1246.66758555264</v>
      </c>
    </row>
    <row r="20" customFormat="false" ht="15" hidden="false" customHeight="false" outlineLevel="0" collapsed="false">
      <c r="A20" s="8" t="s">
        <v>174</v>
      </c>
      <c r="B20" s="14" t="s">
        <v>161</v>
      </c>
      <c r="C20" s="36" t="n">
        <f aca="false">SUM(C66:C101)</f>
        <v>1.98</v>
      </c>
      <c r="D20" s="36" t="n">
        <f aca="false">SUM(D66:D101)</f>
        <v>4.160134</v>
      </c>
      <c r="E20" s="36" t="n">
        <f aca="false">SUM(E66:E101)</f>
        <v>6.5604608102</v>
      </c>
      <c r="F20" s="36" t="n">
        <f aca="false">SUM(F66:F101)</f>
        <v>9.20317639156806</v>
      </c>
      <c r="G20" s="36" t="n">
        <f aca="false">SUM(G66:G101)</f>
        <v>12.1128460369206</v>
      </c>
      <c r="H20" s="36" t="n">
        <f aca="false">SUM(H66:H101)</f>
        <v>15.3166626256308</v>
      </c>
      <c r="I20" s="36" t="n">
        <f aca="false">SUM(I66:I101)</f>
        <v>18.8447339289103</v>
      </c>
      <c r="J20" s="36" t="n">
        <f aca="false">SUM(J66:J101)</f>
        <v>22.7304022882003</v>
      </c>
      <c r="K20" s="36" t="n">
        <f aca="false">SUM(K66:K101)</f>
        <v>27.0106003753073</v>
      </c>
      <c r="L20" s="36" t="n">
        <f aca="false">SUM(L66:L101)</f>
        <v>31.7262471743145</v>
      </c>
      <c r="M20" s="36" t="n">
        <f aca="false">SUM(M66:M101)</f>
        <v>36.9226888073471</v>
      </c>
      <c r="N20" s="36" t="n">
        <f aca="false">SUM(N66:N101)</f>
        <v>42.6501893649565</v>
      </c>
      <c r="O20" s="36" t="n">
        <f aca="false">SUM(O66:O101)</f>
        <v>48.3704775039186</v>
      </c>
      <c r="P20" s="36" t="n">
        <f aca="false">SUM(P66:P101)</f>
        <v>54.6789230081099</v>
      </c>
      <c r="Q20" s="36" t="n">
        <f aca="false">SUM(Q66:Q101)</f>
        <v>61.6380208969059</v>
      </c>
      <c r="R20" s="36" t="n">
        <f aca="false">SUM(R66:R101)</f>
        <v>69.3171281697456</v>
      </c>
      <c r="S20" s="36" t="n">
        <f aca="false">SUM(S66:S101)</f>
        <v>77.7932357167762</v>
      </c>
      <c r="T20" s="36" t="n">
        <f aca="false">SUM(T66:T101)</f>
        <v>87.1518287671929</v>
      </c>
      <c r="U20" s="36" t="n">
        <f aca="false">SUM(U66:U101)</f>
        <v>97.4878461707198</v>
      </c>
      <c r="V20" s="36" t="n">
        <f aca="false">SUM(V66:V101)</f>
        <v>108.906750016902</v>
      </c>
      <c r="W20" s="36" t="n">
        <f aca="false">SUM(W66:W101)</f>
        <v>121.52571844911</v>
      </c>
      <c r="X20" s="36" t="n">
        <f aca="false">SUM(X66:X101)</f>
        <v>135.474976042386</v>
      </c>
      <c r="Y20" s="36" t="n">
        <f aca="false">SUM(Y66:Y101)</f>
        <v>150.899277805507</v>
      </c>
      <c r="Z20" s="36" t="n">
        <f aca="false">SUM(Z66:Z101)</f>
        <v>167.959564759156</v>
      </c>
      <c r="AA20" s="36" t="n">
        <f aca="false">SUM(AA66:AA101)</f>
        <v>186.419011157806</v>
      </c>
      <c r="AB20" s="36" t="n">
        <f aca="false">SUM(AB66:AB101)</f>
        <v>206.850300833313</v>
      </c>
      <c r="AC20" s="36" t="n">
        <f aca="false">SUM(AC66:AC101)</f>
        <v>229.470668924741</v>
      </c>
      <c r="AD20" s="36" t="n">
        <f aca="false">SUM(AD66:AD101)</f>
        <v>253.355967714713</v>
      </c>
      <c r="AE20" s="36" t="n">
        <f aca="false">SUM(AE66:AE101)</f>
        <v>277.685414338862</v>
      </c>
      <c r="AF20" s="36" t="n">
        <f aca="false">SUM(AF66:AF101)</f>
        <v>302.481072431296</v>
      </c>
      <c r="AG20" s="36" t="n">
        <f aca="false">SUM(AG66:AG101)</f>
        <v>327.765995721105</v>
      </c>
      <c r="AH20" s="36" t="n">
        <f aca="false">SUM(AH66:AH101)</f>
        <v>353.564172983701</v>
      </c>
      <c r="AI20" s="36" t="n">
        <f aca="false">SUM(AI66:AI101)</f>
        <v>379.900454850065</v>
      </c>
      <c r="AJ20" s="36" t="n">
        <f aca="false">SUM(AJ66:AJ101)</f>
        <v>406.056804639242</v>
      </c>
      <c r="AK20" s="36" t="n">
        <f aca="false">SUM(AK66:AK101)</f>
        <v>431.685196077441</v>
      </c>
      <c r="AL20" s="36" t="n">
        <f aca="false">SUM(AL66:AL101)</f>
        <v>456.719582583666</v>
      </c>
    </row>
    <row r="21" customFormat="false" ht="15" hidden="false" customHeight="false" outlineLevel="0" collapsed="false">
      <c r="A21" s="37" t="s">
        <v>175</v>
      </c>
      <c r="B21" s="38" t="s">
        <v>161</v>
      </c>
      <c r="C21" s="39" t="n">
        <f aca="false">C19+C20</f>
        <v>9.9</v>
      </c>
      <c r="D21" s="39" t="n">
        <f aca="false">D19+D20</f>
        <v>20.32547</v>
      </c>
      <c r="E21" s="39" t="n">
        <f aca="false">E19+E20</f>
        <v>31.357183891</v>
      </c>
      <c r="F21" s="39" t="n">
        <f aca="false">F19+F20</f>
        <v>43.0829584129923</v>
      </c>
      <c r="G21" s="39" t="n">
        <f aca="false">G19+G20</f>
        <v>55.5985197184697</v>
      </c>
      <c r="H21" s="39" t="n">
        <f aca="false">H19+H20</f>
        <v>69.0084622411278</v>
      </c>
      <c r="I21" s="39" t="n">
        <f aca="false">I19+I20</f>
        <v>83.4273107805953</v>
      </c>
      <c r="J21" s="39" t="n">
        <f aca="false">J19+J20</f>
        <v>98.9806979659442</v>
      </c>
      <c r="K21" s="39" t="n">
        <f aca="false">K19+K20</f>
        <v>115.806670660815</v>
      </c>
      <c r="L21" s="39" t="n">
        <f aca="false">L19+L20</f>
        <v>134.05714043872</v>
      </c>
      <c r="M21" s="39" t="n">
        <f aca="false">M19+M20</f>
        <v>153.899495008019</v>
      </c>
      <c r="N21" s="39" t="n">
        <f aca="false">N19+N20</f>
        <v>175.518389424025</v>
      </c>
      <c r="O21" s="39" t="n">
        <f aca="false">O19+O20</f>
        <v>198.523738115292</v>
      </c>
      <c r="P21" s="39" t="n">
        <f aca="false">P19+P20</f>
        <v>223.672930799566</v>
      </c>
      <c r="Q21" s="39" t="n">
        <f aca="false">Q19+Q20</f>
        <v>251.209171948298</v>
      </c>
      <c r="R21" s="39" t="n">
        <f aca="false">R19+R20</f>
        <v>281.401697947055</v>
      </c>
      <c r="S21" s="39" t="n">
        <f aca="false">S19+S20</f>
        <v>314.548765069993</v>
      </c>
      <c r="T21" s="39" t="n">
        <f aca="false">T19+T20</f>
        <v>350.980978467335</v>
      </c>
      <c r="U21" s="39" t="n">
        <f aca="false">U19+U20</f>
        <v>391.065002066897</v>
      </c>
      <c r="V21" s="39" t="n">
        <f aca="false">V19+V20</f>
        <v>435.207693975184</v>
      </c>
      <c r="W21" s="39" t="n">
        <f aca="false">W19+W20</f>
        <v>483.860717203254</v>
      </c>
      <c r="X21" s="39" t="n">
        <f aca="false">X19+X20</f>
        <v>537.525681403198</v>
      </c>
      <c r="Y21" s="39" t="n">
        <f aca="false">Y19+Y20</f>
        <v>596.75987785679</v>
      </c>
      <c r="Z21" s="39" t="n">
        <f aca="false">Z19+Z20</f>
        <v>662.182677291092</v>
      </c>
      <c r="AA21" s="39" t="n">
        <f aca="false">AA19+AA20</f>
        <v>734.066868299179</v>
      </c>
      <c r="AB21" s="39" t="n">
        <f aca="false">AB19+AB20</f>
        <v>813.55074065326</v>
      </c>
      <c r="AC21" s="39" t="n">
        <f aca="false">AC19+AC20</f>
        <v>901.481864359999</v>
      </c>
      <c r="AD21" s="39" t="n">
        <f aca="false">AD19+AD20</f>
        <v>992.973874008795</v>
      </c>
      <c r="AE21" s="39" t="n">
        <f aca="false">AE19+AE20</f>
        <v>1083.90696538275</v>
      </c>
      <c r="AF21" s="39" t="n">
        <f aca="false">AF19+AF20</f>
        <v>1174.58685434924</v>
      </c>
      <c r="AG21" s="39" t="n">
        <f aca="false">AG19+AG20</f>
        <v>1265.32203033138</v>
      </c>
      <c r="AH21" s="39" t="n">
        <f aca="false">AH19+AH20</f>
        <v>1356.42504121431</v>
      </c>
      <c r="AI21" s="39" t="n">
        <f aca="false">AI19+AI20</f>
        <v>1448.21379827547</v>
      </c>
      <c r="AJ21" s="39" t="n">
        <f aca="false">AJ19+AJ20</f>
        <v>1537.29463188657</v>
      </c>
      <c r="AK21" s="39" t="n">
        <f aca="false">AK19+AK20</f>
        <v>1622.30721151811</v>
      </c>
      <c r="AL21" s="39" t="n">
        <f aca="false">AL19+AL20</f>
        <v>1703.3871681363</v>
      </c>
    </row>
    <row r="22" customFormat="false" ht="15" hidden="false" customHeight="false" outlineLevel="0" collapsed="false">
      <c r="A22" s="8" t="s">
        <v>176</v>
      </c>
      <c r="B22" s="14" t="s">
        <v>161</v>
      </c>
      <c r="C22" s="36" t="n">
        <f aca="false">0</f>
        <v>0</v>
      </c>
      <c r="D22" s="36" t="n">
        <f aca="false">C21</f>
        <v>9.9</v>
      </c>
      <c r="E22" s="36" t="n">
        <f aca="false">D21</f>
        <v>20.32547</v>
      </c>
      <c r="F22" s="36" t="n">
        <f aca="false">E21</f>
        <v>31.357183891</v>
      </c>
      <c r="G22" s="36" t="n">
        <f aca="false">F21</f>
        <v>43.0829584129923</v>
      </c>
      <c r="H22" s="36" t="n">
        <f aca="false">G21</f>
        <v>55.5985197184697</v>
      </c>
      <c r="I22" s="36" t="n">
        <f aca="false">H21</f>
        <v>69.0084622411278</v>
      </c>
      <c r="J22" s="36" t="n">
        <f aca="false">I21</f>
        <v>83.4273107805953</v>
      </c>
      <c r="K22" s="36" t="n">
        <f aca="false">J21</f>
        <v>98.9806979659442</v>
      </c>
      <c r="L22" s="36" t="n">
        <f aca="false">K21</f>
        <v>115.806670660815</v>
      </c>
      <c r="M22" s="36" t="n">
        <f aca="false">L21</f>
        <v>134.05714043872</v>
      </c>
      <c r="N22" s="36" t="n">
        <f aca="false">M21</f>
        <v>153.899495008019</v>
      </c>
      <c r="O22" s="36" t="n">
        <f aca="false">N21</f>
        <v>175.518389424025</v>
      </c>
      <c r="P22" s="36" t="n">
        <f aca="false">O21</f>
        <v>198.523738115292</v>
      </c>
      <c r="Q22" s="36" t="n">
        <f aca="false">P21</f>
        <v>223.672930799566</v>
      </c>
      <c r="R22" s="36" t="n">
        <f aca="false">Q21</f>
        <v>251.209171948298</v>
      </c>
      <c r="S22" s="36" t="n">
        <f aca="false">R21</f>
        <v>281.401697947055</v>
      </c>
      <c r="T22" s="36" t="n">
        <f aca="false">S21</f>
        <v>314.548765069993</v>
      </c>
      <c r="U22" s="36" t="n">
        <f aca="false">T21</f>
        <v>350.980978467335</v>
      </c>
      <c r="V22" s="36" t="n">
        <f aca="false">U21</f>
        <v>391.065002066897</v>
      </c>
      <c r="W22" s="36" t="n">
        <f aca="false">V21</f>
        <v>435.207693975184</v>
      </c>
      <c r="X22" s="36" t="n">
        <f aca="false">W21</f>
        <v>483.860717203254</v>
      </c>
      <c r="Y22" s="36" t="n">
        <f aca="false">X21</f>
        <v>537.525681403198</v>
      </c>
      <c r="Z22" s="36" t="n">
        <f aca="false">Y21</f>
        <v>596.75987785679</v>
      </c>
      <c r="AA22" s="36" t="n">
        <f aca="false">Z21</f>
        <v>662.182677291092</v>
      </c>
      <c r="AB22" s="36" t="n">
        <f aca="false">AA21</f>
        <v>734.066868299179</v>
      </c>
      <c r="AC22" s="36" t="n">
        <f aca="false">AB21</f>
        <v>813.55074065326</v>
      </c>
      <c r="AD22" s="36" t="n">
        <f aca="false">AC21</f>
        <v>901.481864359999</v>
      </c>
      <c r="AE22" s="36" t="n">
        <f aca="false">AD21</f>
        <v>992.973874008795</v>
      </c>
      <c r="AF22" s="36" t="n">
        <f aca="false">AE21</f>
        <v>1083.90696538275</v>
      </c>
      <c r="AG22" s="36" t="n">
        <f aca="false">AF21</f>
        <v>1174.58685434924</v>
      </c>
      <c r="AH22" s="36" t="n">
        <f aca="false">AG21</f>
        <v>1265.32203033138</v>
      </c>
      <c r="AI22" s="36" t="n">
        <f aca="false">AH21</f>
        <v>1356.42504121431</v>
      </c>
      <c r="AJ22" s="36" t="n">
        <f aca="false">AI21</f>
        <v>1448.21379827547</v>
      </c>
      <c r="AK22" s="36" t="n">
        <f aca="false">AJ21</f>
        <v>1537.29463188657</v>
      </c>
      <c r="AL22" s="36" t="n">
        <f aca="false">AK21</f>
        <v>1622.30721151811</v>
      </c>
    </row>
    <row r="23" customFormat="false" ht="15" hidden="false" customHeight="false" outlineLevel="0" collapsed="false">
      <c r="A23" s="8" t="s">
        <v>177</v>
      </c>
      <c r="B23" s="14" t="s">
        <v>161</v>
      </c>
      <c r="C23" s="36" t="n">
        <f aca="false">C16</f>
        <v>1.98</v>
      </c>
      <c r="D23" s="36" t="n">
        <f aca="false">D16</f>
        <v>2.180134</v>
      </c>
      <c r="E23" s="36" t="n">
        <f aca="false">E16</f>
        <v>2.4003268102</v>
      </c>
      <c r="F23" s="36" t="n">
        <f aca="false">F16</f>
        <v>2.64271558136806</v>
      </c>
      <c r="G23" s="36" t="n">
        <f aca="false">G16</f>
        <v>2.90966964535258</v>
      </c>
      <c r="H23" s="36" t="n">
        <f aca="false">H16</f>
        <v>3.20381658871019</v>
      </c>
      <c r="I23" s="36" t="n">
        <f aca="false">I16</f>
        <v>3.52807130327947</v>
      </c>
      <c r="J23" s="36" t="n">
        <f aca="false">J16</f>
        <v>3.88566835929002</v>
      </c>
      <c r="K23" s="36" t="n">
        <f aca="false">K16</f>
        <v>4.28019808710703</v>
      </c>
      <c r="L23" s="36" t="n">
        <f aca="false">L16</f>
        <v>4.71564679900718</v>
      </c>
      <c r="M23" s="36" t="n">
        <f aca="false">M16</f>
        <v>5.19644163303253</v>
      </c>
      <c r="N23" s="36" t="n">
        <f aca="false">N16</f>
        <v>5.72750055760942</v>
      </c>
      <c r="O23" s="36" t="n">
        <f aca="false">O16+O66</f>
        <v>7.70028813896208</v>
      </c>
      <c r="P23" s="36" t="n">
        <f aca="false">P16+P67</f>
        <v>8.48857950419135</v>
      </c>
      <c r="Q23" s="36" t="n">
        <f aca="false">Q16+Q68</f>
        <v>9.35942469899596</v>
      </c>
      <c r="R23" s="36" t="n">
        <f aca="false">R16+R69</f>
        <v>10.3218228542078</v>
      </c>
      <c r="S23" s="36" t="n">
        <f aca="false">S16+S70</f>
        <v>11.3857771923832</v>
      </c>
      <c r="T23" s="36" t="n">
        <f aca="false">T16+T71</f>
        <v>12.5624096391269</v>
      </c>
      <c r="U23" s="36" t="n">
        <f aca="false">U16+U72</f>
        <v>13.8640887068064</v>
      </c>
      <c r="V23" s="36" t="n">
        <f aca="false">V16+V73</f>
        <v>15.304572205472</v>
      </c>
      <c r="W23" s="36" t="n">
        <f aca="false">W16+W74</f>
        <v>16.8991665193147</v>
      </c>
      <c r="X23" s="36" t="n">
        <f aca="false">X16+X75</f>
        <v>18.6649043922839</v>
      </c>
      <c r="Y23" s="36" t="n">
        <f aca="false">Y16+Y76</f>
        <v>20.6207433961529</v>
      </c>
      <c r="Z23" s="36" t="n">
        <f aca="false">Z16+Z77</f>
        <v>22.7877875112588</v>
      </c>
      <c r="AA23" s="36" t="n">
        <f aca="false">AA16+AA78+AA66</f>
        <v>26.1597345376118</v>
      </c>
      <c r="AB23" s="36" t="n">
        <f aca="false">AB16+AB79+AB67</f>
        <v>28.9198691796983</v>
      </c>
      <c r="AC23" s="36" t="n">
        <f aca="false">AC16+AC80+AC68</f>
        <v>31.979792790424</v>
      </c>
      <c r="AD23" s="36" t="n">
        <f aca="false">AD16+AD81+AD69</f>
        <v>34.2071216441803</v>
      </c>
      <c r="AE23" s="36" t="n">
        <f aca="false">AE16+AE82+AE70</f>
        <v>35.7152238165318</v>
      </c>
      <c r="AF23" s="36" t="n">
        <f aca="false">AF16+AF83+AF71</f>
        <v>37.3580677315607</v>
      </c>
      <c r="AG23" s="36" t="n">
        <f aca="false">AG16+AG84+AG72</f>
        <v>39.1490119966158</v>
      </c>
      <c r="AH23" s="36" t="n">
        <f aca="false">AH16+AH85+AH73</f>
        <v>41.1027494680684</v>
      </c>
      <c r="AI23" s="36" t="n">
        <f aca="false">AI16+AI86+AI74</f>
        <v>43.2354483856786</v>
      </c>
      <c r="AJ23" s="36" t="n">
        <f aca="false">AJ16+AJ87+AJ75</f>
        <v>44.8212541814606</v>
      </c>
      <c r="AK23" s="36" t="n">
        <f aca="false">AK16+AK88+AK76</f>
        <v>46.2491348343522</v>
      </c>
      <c r="AL23" s="36" t="n">
        <f aca="false">AL16+AL89+AL77</f>
        <v>47.8221740174831</v>
      </c>
    </row>
    <row r="24" customFormat="false" ht="15" hidden="false" customHeight="false" outlineLevel="0" collapsed="false">
      <c r="A24" s="41" t="s">
        <v>178</v>
      </c>
    </row>
    <row r="25" customFormat="false" ht="15" hidden="false" customHeight="false" outlineLevel="0" collapsed="false">
      <c r="A25" s="12" t="s">
        <v>179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customFormat="false" ht="15" hidden="false" customHeight="false" outlineLevel="0" collapsed="false">
      <c r="A26" s="5" t="s">
        <v>180</v>
      </c>
      <c r="B26" s="41" t="s">
        <v>161</v>
      </c>
      <c r="C26" s="42" t="n">
        <v>1</v>
      </c>
      <c r="D26" s="42" t="n">
        <v>2</v>
      </c>
      <c r="E26" s="42" t="n">
        <v>3</v>
      </c>
      <c r="F26" s="42" t="n">
        <v>4</v>
      </c>
      <c r="G26" s="42" t="n">
        <v>5</v>
      </c>
      <c r="H26" s="42" t="n">
        <v>6</v>
      </c>
      <c r="I26" s="42" t="n">
        <v>7</v>
      </c>
      <c r="J26" s="42" t="n">
        <v>8</v>
      </c>
      <c r="K26" s="42" t="n">
        <v>9</v>
      </c>
      <c r="L26" s="42" t="n">
        <v>10</v>
      </c>
      <c r="M26" s="42" t="n">
        <v>11</v>
      </c>
      <c r="N26" s="42" t="n">
        <v>12</v>
      </c>
      <c r="O26" s="42" t="n">
        <v>13</v>
      </c>
      <c r="P26" s="42" t="n">
        <v>14</v>
      </c>
      <c r="Q26" s="42" t="n">
        <v>15</v>
      </c>
      <c r="R26" s="42" t="n">
        <v>16</v>
      </c>
      <c r="S26" s="42" t="n">
        <v>17</v>
      </c>
      <c r="T26" s="42" t="n">
        <v>18</v>
      </c>
      <c r="U26" s="42" t="n">
        <v>19</v>
      </c>
      <c r="V26" s="42" t="n">
        <v>20</v>
      </c>
      <c r="W26" s="42" t="n">
        <v>21</v>
      </c>
      <c r="X26" s="42" t="n">
        <v>22</v>
      </c>
      <c r="Y26" s="42" t="n">
        <v>23</v>
      </c>
      <c r="Z26" s="42" t="n">
        <v>24</v>
      </c>
      <c r="AA26" s="42" t="n">
        <v>25</v>
      </c>
      <c r="AB26" s="42" t="n">
        <v>26</v>
      </c>
      <c r="AC26" s="42" t="n">
        <v>27</v>
      </c>
      <c r="AD26" s="42" t="n">
        <v>28</v>
      </c>
      <c r="AE26" s="42" t="n">
        <v>29</v>
      </c>
      <c r="AF26" s="42" t="n">
        <v>30</v>
      </c>
      <c r="AG26" s="42" t="n">
        <v>31</v>
      </c>
      <c r="AH26" s="42" t="n">
        <v>32</v>
      </c>
      <c r="AI26" s="42" t="n">
        <v>33</v>
      </c>
      <c r="AJ26" s="42" t="n">
        <v>34</v>
      </c>
      <c r="AK26" s="42" t="n">
        <v>35</v>
      </c>
      <c r="AL26" s="42" t="n">
        <v>36</v>
      </c>
    </row>
    <row r="27" customFormat="false" ht="15" hidden="false" customHeight="false" outlineLevel="0" collapsed="false">
      <c r="A27" s="8" t="s">
        <v>181</v>
      </c>
      <c r="B27" s="14" t="s">
        <v>161</v>
      </c>
      <c r="C27" s="36" t="n">
        <f aca="false">C15</f>
        <v>7.92</v>
      </c>
      <c r="D27" s="36" t="n">
        <f aca="false">C27*(1-Assumptions!$F$27)</f>
        <v>7.4448</v>
      </c>
      <c r="E27" s="36" t="n">
        <f aca="false">D27*(1-Assumptions!$F$27)</f>
        <v>6.998112</v>
      </c>
      <c r="F27" s="36" t="n">
        <f aca="false">E27*(1-Assumptions!$F$27)</f>
        <v>6.57822528</v>
      </c>
      <c r="G27" s="36" t="n">
        <f aca="false">F27*(1-Assumptions!$F$27)</f>
        <v>6.1835317632</v>
      </c>
      <c r="H27" s="36" t="n">
        <f aca="false">G27*(1-Assumptions!$F$27)</f>
        <v>5.812519857408</v>
      </c>
      <c r="I27" s="36" t="n">
        <f aca="false">H27*(1-Assumptions!$F$27)</f>
        <v>5.46376866596352</v>
      </c>
      <c r="J27" s="36" t="n">
        <f aca="false">I27*(1-Assumptions!$F$27)</f>
        <v>5.13594254600571</v>
      </c>
      <c r="K27" s="36" t="n">
        <f aca="false">J27*(1-Assumptions!$F$27)</f>
        <v>4.82778599324537</v>
      </c>
      <c r="L27" s="36" t="n">
        <f aca="false">K27*(1-Assumptions!$F$27)</f>
        <v>4.53811883365064</v>
      </c>
      <c r="M27" s="36" t="n">
        <f aca="false">L27*(1-Assumptions!$F$27)</f>
        <v>4.2658317036316</v>
      </c>
      <c r="N27" s="36" t="n">
        <f aca="false">M27*(1-Assumptions!$F$27)</f>
        <v>4.00988180141371</v>
      </c>
      <c r="O27" s="36" t="n">
        <f aca="false">N27*(1-Assumptions!$F$27)</f>
        <v>3.76928889332889</v>
      </c>
      <c r="P27" s="36" t="n">
        <f aca="false">O27*(1-Assumptions!$F$27)</f>
        <v>3.54313155972915</v>
      </c>
      <c r="Q27" s="36" t="n">
        <f aca="false">P27*(1-Assumptions!$F$27)</f>
        <v>3.3305436661454</v>
      </c>
      <c r="R27" s="36" t="n">
        <f aca="false">Q27*(1-Assumptions!$F$27)</f>
        <v>3.13071104617668</v>
      </c>
      <c r="S27" s="36" t="n">
        <f aca="false">R27*(1-Assumptions!$F$27)</f>
        <v>2.94286838340608</v>
      </c>
      <c r="T27" s="36" t="n">
        <f aca="false">S27*(1-Assumptions!$F$27)</f>
        <v>2.76629628040171</v>
      </c>
      <c r="U27" s="36" t="n">
        <f aca="false">T27*(1-Assumptions!$F$27)</f>
        <v>2.60031850357761</v>
      </c>
      <c r="V27" s="36" t="n">
        <f aca="false">U27*(1-Assumptions!$F$27)</f>
        <v>2.44429939336295</v>
      </c>
      <c r="W27" s="36" t="n">
        <f aca="false">V27*(1-Assumptions!$F$27)</f>
        <v>2.29764142976118</v>
      </c>
      <c r="X27" s="36" t="n">
        <f aca="false">W27*(1-Assumptions!$F$27)</f>
        <v>2.1597829439755</v>
      </c>
      <c r="Y27" s="36" t="n">
        <f aca="false">X27*(1-Assumptions!$F$27)</f>
        <v>2.03019596733697</v>
      </c>
      <c r="Z27" s="36" t="n">
        <f aca="false">Y27*(1-Assumptions!$F$27)</f>
        <v>1.90838420929676</v>
      </c>
      <c r="AA27" s="36" t="n">
        <f aca="false">Z27*(1-Assumptions!$F$27)</f>
        <v>1.79388115673895</v>
      </c>
      <c r="AB27" s="36" t="n">
        <f aca="false">AA27*(1-Assumptions!$F$27)</f>
        <v>1.68624828733461</v>
      </c>
      <c r="AC27" s="36" t="n">
        <f aca="false">AB27*(1-Assumptions!$F$27)</f>
        <v>1.58507339009454</v>
      </c>
      <c r="AD27" s="36" t="n">
        <f aca="false">AC27*(1-Assumptions!$F$27)</f>
        <v>1.48996898668886</v>
      </c>
      <c r="AE27" s="36" t="n">
        <f aca="false">AD27*(1-Assumptions!$F$27)</f>
        <v>1.40057084748753</v>
      </c>
      <c r="AF27" s="36" t="n">
        <f aca="false">AE27*(1-Assumptions!$F$27)</f>
        <v>1.31653659663828</v>
      </c>
      <c r="AG27" s="36" t="n">
        <f aca="false">AF27*(1-Assumptions!$F$27)</f>
        <v>1.23754440083998</v>
      </c>
      <c r="AH27" s="36" t="n">
        <f aca="false">AG27*(1-Assumptions!$F$27)</f>
        <v>1.16329173678958</v>
      </c>
      <c r="AI27" s="36" t="n">
        <f aca="false">AH27*(1-Assumptions!$F$27)</f>
        <v>1.09349423258221</v>
      </c>
      <c r="AJ27" s="36" t="n">
        <f aca="false">AI27*(1-Assumptions!$F$27)</f>
        <v>1.02788457862728</v>
      </c>
      <c r="AK27" s="36" t="n">
        <f aca="false">AJ27*(1-Assumptions!$F$27)</f>
        <v>0.96621150390964</v>
      </c>
      <c r="AL27" s="36" t="n">
        <f aca="false">AK27*(1-Assumptions!$F$27)</f>
        <v>0.908238813675062</v>
      </c>
    </row>
    <row r="28" customFormat="false" ht="15" hidden="false" customHeight="false" outlineLevel="0" collapsed="false">
      <c r="A28" s="8" t="s">
        <v>182</v>
      </c>
      <c r="B28" s="14" t="s">
        <v>161</v>
      </c>
      <c r="C28" s="43" t="n">
        <v>0</v>
      </c>
      <c r="D28" s="36" t="n">
        <f aca="false">D15</f>
        <v>8.720536</v>
      </c>
      <c r="E28" s="36" t="n">
        <f aca="false">D28*(1-Assumptions!$F$27)</f>
        <v>8.19730384</v>
      </c>
      <c r="F28" s="36" t="n">
        <f aca="false">E28*(1-Assumptions!$F$27)</f>
        <v>7.7054656096</v>
      </c>
      <c r="G28" s="36" t="n">
        <f aca="false">F28*(1-Assumptions!$F$27)</f>
        <v>7.243137673024</v>
      </c>
      <c r="H28" s="36" t="n">
        <f aca="false">G28*(1-Assumptions!$F$27)</f>
        <v>6.80854941264256</v>
      </c>
      <c r="I28" s="36" t="n">
        <f aca="false">H28*(1-Assumptions!$F$27)</f>
        <v>6.40003644788401</v>
      </c>
      <c r="J28" s="36" t="n">
        <f aca="false">I28*(1-Assumptions!$F$27)</f>
        <v>6.01603426101096</v>
      </c>
      <c r="K28" s="36" t="n">
        <f aca="false">J28*(1-Assumptions!$F$27)</f>
        <v>5.65507220535031</v>
      </c>
      <c r="L28" s="36" t="n">
        <f aca="false">K28*(1-Assumptions!$F$27)</f>
        <v>5.31576787302929</v>
      </c>
      <c r="M28" s="36" t="n">
        <f aca="false">L28*(1-Assumptions!$F$27)</f>
        <v>4.99682180064753</v>
      </c>
      <c r="N28" s="36" t="n">
        <f aca="false">M28*(1-Assumptions!$F$27)</f>
        <v>4.69701249260868</v>
      </c>
      <c r="O28" s="36" t="n">
        <f aca="false">N28*(1-Assumptions!$F$27)</f>
        <v>4.41519174305216</v>
      </c>
      <c r="P28" s="36" t="n">
        <f aca="false">O28*(1-Assumptions!$F$27)</f>
        <v>4.15028023846903</v>
      </c>
      <c r="Q28" s="36" t="n">
        <f aca="false">P28*(1-Assumptions!$F$27)</f>
        <v>3.90126342416089</v>
      </c>
      <c r="R28" s="36" t="n">
        <f aca="false">Q28*(1-Assumptions!$F$27)</f>
        <v>3.66718761871123</v>
      </c>
      <c r="S28" s="36" t="n">
        <f aca="false">R28*(1-Assumptions!$F$27)</f>
        <v>3.44715636158856</v>
      </c>
      <c r="T28" s="36" t="n">
        <f aca="false">S28*(1-Assumptions!$F$27)</f>
        <v>3.24032697989324</v>
      </c>
      <c r="U28" s="36" t="n">
        <f aca="false">T28*(1-Assumptions!$F$27)</f>
        <v>3.04590736109965</v>
      </c>
      <c r="V28" s="36" t="n">
        <f aca="false">U28*(1-Assumptions!$F$27)</f>
        <v>2.86315291943367</v>
      </c>
      <c r="W28" s="36" t="n">
        <f aca="false">V28*(1-Assumptions!$F$27)</f>
        <v>2.69136374426765</v>
      </c>
      <c r="X28" s="36" t="n">
        <f aca="false">W28*(1-Assumptions!$F$27)</f>
        <v>2.52988191961159</v>
      </c>
      <c r="Y28" s="36" t="n">
        <f aca="false">X28*(1-Assumptions!$F$27)</f>
        <v>2.3780890044349</v>
      </c>
      <c r="Z28" s="36" t="n">
        <f aca="false">Y28*(1-Assumptions!$F$27)</f>
        <v>2.2354036641688</v>
      </c>
      <c r="AA28" s="36" t="n">
        <f aca="false">Z28*(1-Assumptions!$F$27)</f>
        <v>2.10127944431867</v>
      </c>
      <c r="AB28" s="36" t="n">
        <f aca="false">AA28*(1-Assumptions!$F$27)</f>
        <v>1.97520267765955</v>
      </c>
      <c r="AC28" s="36" t="n">
        <f aca="false">AB28*(1-Assumptions!$F$27)</f>
        <v>1.85669051699998</v>
      </c>
      <c r="AD28" s="36" t="n">
        <f aca="false">AC28*(1-Assumptions!$F$27)</f>
        <v>1.74528908597998</v>
      </c>
      <c r="AE28" s="36" t="n">
        <f aca="false">AD28*(1-Assumptions!$F$27)</f>
        <v>1.64057174082118</v>
      </c>
      <c r="AF28" s="36" t="n">
        <f aca="false">AE28*(1-Assumptions!$F$27)</f>
        <v>1.54213743637191</v>
      </c>
      <c r="AG28" s="36" t="n">
        <f aca="false">AF28*(1-Assumptions!$F$27)</f>
        <v>1.4496091901896</v>
      </c>
      <c r="AH28" s="36" t="n">
        <f aca="false">AG28*(1-Assumptions!$F$27)</f>
        <v>1.36263263877822</v>
      </c>
      <c r="AI28" s="36" t="n">
        <f aca="false">AH28*(1-Assumptions!$F$27)</f>
        <v>1.28087468045153</v>
      </c>
      <c r="AJ28" s="36" t="n">
        <f aca="false">AI28*(1-Assumptions!$F$27)</f>
        <v>1.20402219962444</v>
      </c>
      <c r="AK28" s="36" t="n">
        <f aca="false">AJ28*(1-Assumptions!$F$27)</f>
        <v>1.13178086764697</v>
      </c>
      <c r="AL28" s="36" t="n">
        <f aca="false">AK28*(1-Assumptions!$F$27)</f>
        <v>1.06387401558815</v>
      </c>
    </row>
    <row r="29" customFormat="false" ht="15" hidden="false" customHeight="false" outlineLevel="0" collapsed="false">
      <c r="A29" s="8" t="s">
        <v>183</v>
      </c>
      <c r="B29" s="14" t="s">
        <v>161</v>
      </c>
      <c r="C29" s="43" t="n">
        <v>0</v>
      </c>
      <c r="D29" s="43" t="n">
        <v>0</v>
      </c>
      <c r="E29" s="36" t="n">
        <f aca="false">E15</f>
        <v>9.6013072408</v>
      </c>
      <c r="F29" s="36" t="n">
        <f aca="false">E29*(1-Assumptions!$F$27)</f>
        <v>9.025228806352</v>
      </c>
      <c r="G29" s="36" t="n">
        <f aca="false">F29*(1-Assumptions!$F$27)</f>
        <v>8.48371507797088</v>
      </c>
      <c r="H29" s="36" t="n">
        <f aca="false">G29*(1-Assumptions!$F$27)</f>
        <v>7.97469217329263</v>
      </c>
      <c r="I29" s="36" t="n">
        <f aca="false">H29*(1-Assumptions!$F$27)</f>
        <v>7.49621064289507</v>
      </c>
      <c r="J29" s="36" t="n">
        <f aca="false">I29*(1-Assumptions!$F$27)</f>
        <v>7.04643800432137</v>
      </c>
      <c r="K29" s="36" t="n">
        <f aca="false">J29*(1-Assumptions!$F$27)</f>
        <v>6.62365172406208</v>
      </c>
      <c r="L29" s="36" t="n">
        <f aca="false">K29*(1-Assumptions!$F$27)</f>
        <v>6.22623262061836</v>
      </c>
      <c r="M29" s="36" t="n">
        <f aca="false">L29*(1-Assumptions!$F$27)</f>
        <v>5.85265866338126</v>
      </c>
      <c r="N29" s="36" t="n">
        <f aca="false">M29*(1-Assumptions!$F$27)</f>
        <v>5.50149914357838</v>
      </c>
      <c r="O29" s="36" t="n">
        <f aca="false">N29*(1-Assumptions!$F$27)</f>
        <v>5.17140919496368</v>
      </c>
      <c r="P29" s="36" t="n">
        <f aca="false">O29*(1-Assumptions!$F$27)</f>
        <v>4.86112464326586</v>
      </c>
      <c r="Q29" s="36" t="n">
        <f aca="false">P29*(1-Assumptions!$F$27)</f>
        <v>4.56945716466991</v>
      </c>
      <c r="R29" s="36" t="n">
        <f aca="false">Q29*(1-Assumptions!$F$27)</f>
        <v>4.29528973478971</v>
      </c>
      <c r="S29" s="36" t="n">
        <f aca="false">R29*(1-Assumptions!$F$27)</f>
        <v>4.03757235070233</v>
      </c>
      <c r="T29" s="36" t="n">
        <f aca="false">S29*(1-Assumptions!$F$27)</f>
        <v>3.79531800966019</v>
      </c>
      <c r="U29" s="36" t="n">
        <f aca="false">T29*(1-Assumptions!$F$27)</f>
        <v>3.56759892908058</v>
      </c>
      <c r="V29" s="36" t="n">
        <f aca="false">U29*(1-Assumptions!$F$27)</f>
        <v>3.35354299333574</v>
      </c>
      <c r="W29" s="36" t="n">
        <f aca="false">V29*(1-Assumptions!$F$27)</f>
        <v>3.1523304137356</v>
      </c>
      <c r="X29" s="36" t="n">
        <f aca="false">W29*(1-Assumptions!$F$27)</f>
        <v>2.96319058891146</v>
      </c>
      <c r="Y29" s="36" t="n">
        <f aca="false">X29*(1-Assumptions!$F$27)</f>
        <v>2.78539915357677</v>
      </c>
      <c r="Z29" s="36" t="n">
        <f aca="false">Y29*(1-Assumptions!$F$27)</f>
        <v>2.61827520436217</v>
      </c>
      <c r="AA29" s="36" t="n">
        <f aca="false">Z29*(1-Assumptions!$F$27)</f>
        <v>2.46117869210044</v>
      </c>
      <c r="AB29" s="36" t="n">
        <f aca="false">AA29*(1-Assumptions!$F$27)</f>
        <v>2.31350797057441</v>
      </c>
      <c r="AC29" s="36" t="n">
        <f aca="false">AB29*(1-Assumptions!$F$27)</f>
        <v>2.17469749233995</v>
      </c>
      <c r="AD29" s="36" t="n">
        <f aca="false">AC29*(1-Assumptions!$F$27)</f>
        <v>2.04421564279955</v>
      </c>
      <c r="AE29" s="36" t="n">
        <f aca="false">AD29*(1-Assumptions!$F$27)</f>
        <v>1.92156270423158</v>
      </c>
      <c r="AF29" s="36" t="n">
        <f aca="false">AE29*(1-Assumptions!$F$27)</f>
        <v>1.80626894197768</v>
      </c>
      <c r="AG29" s="36" t="n">
        <f aca="false">AF29*(1-Assumptions!$F$27)</f>
        <v>1.69789280545902</v>
      </c>
      <c r="AH29" s="36" t="n">
        <f aca="false">AG29*(1-Assumptions!$F$27)</f>
        <v>1.59601923713148</v>
      </c>
      <c r="AI29" s="36" t="n">
        <f aca="false">AH29*(1-Assumptions!$F$27)</f>
        <v>1.50025808290359</v>
      </c>
      <c r="AJ29" s="36" t="n">
        <f aca="false">AI29*(1-Assumptions!$F$27)</f>
        <v>1.41024259792937</v>
      </c>
      <c r="AK29" s="36" t="n">
        <f aca="false">AJ29*(1-Assumptions!$F$27)</f>
        <v>1.32562804205361</v>
      </c>
      <c r="AL29" s="36" t="n">
        <f aca="false">AK29*(1-Assumptions!$F$27)</f>
        <v>1.2460903595304</v>
      </c>
    </row>
    <row r="30" customFormat="false" ht="15" hidden="false" customHeight="false" outlineLevel="0" collapsed="false">
      <c r="A30" s="8" t="s">
        <v>184</v>
      </c>
      <c r="B30" s="14" t="s">
        <v>161</v>
      </c>
      <c r="C30" s="43" t="n">
        <v>0</v>
      </c>
      <c r="D30" s="43" t="n">
        <v>0</v>
      </c>
      <c r="E30" s="43" t="n">
        <v>0</v>
      </c>
      <c r="F30" s="36" t="n">
        <f aca="false">F15</f>
        <v>10.5708623254722</v>
      </c>
      <c r="G30" s="36" t="n">
        <f aca="false">F30*(1-Assumptions!$F$27)</f>
        <v>9.93661058594391</v>
      </c>
      <c r="H30" s="36" t="n">
        <f aca="false">G30*(1-Assumptions!$F$27)</f>
        <v>9.34041395078727</v>
      </c>
      <c r="I30" s="36" t="n">
        <f aca="false">H30*(1-Assumptions!$F$27)</f>
        <v>8.77998911374004</v>
      </c>
      <c r="J30" s="36" t="n">
        <f aca="false">I30*(1-Assumptions!$F$27)</f>
        <v>8.25318976691563</v>
      </c>
      <c r="K30" s="36" t="n">
        <f aca="false">J30*(1-Assumptions!$F$27)</f>
        <v>7.75799838090069</v>
      </c>
      <c r="L30" s="36" t="n">
        <f aca="false">K30*(1-Assumptions!$F$27)</f>
        <v>7.29251847804665</v>
      </c>
      <c r="M30" s="36" t="n">
        <f aca="false">L30*(1-Assumptions!$F$27)</f>
        <v>6.85496736936385</v>
      </c>
      <c r="N30" s="36" t="n">
        <f aca="false">M30*(1-Assumptions!$F$27)</f>
        <v>6.44366932720202</v>
      </c>
      <c r="O30" s="36" t="n">
        <f aca="false">N30*(1-Assumptions!$F$27)</f>
        <v>6.0570491675699</v>
      </c>
      <c r="P30" s="36" t="n">
        <f aca="false">O30*(1-Assumptions!$F$27)</f>
        <v>5.6936262175157</v>
      </c>
      <c r="Q30" s="36" t="n">
        <f aca="false">P30*(1-Assumptions!$F$27)</f>
        <v>5.35200864446476</v>
      </c>
      <c r="R30" s="36" t="n">
        <f aca="false">Q30*(1-Assumptions!$F$27)</f>
        <v>5.03088812579688</v>
      </c>
      <c r="S30" s="36" t="n">
        <f aca="false">R30*(1-Assumptions!$F$27)</f>
        <v>4.72903483824906</v>
      </c>
      <c r="T30" s="36" t="n">
        <f aca="false">S30*(1-Assumptions!$F$27)</f>
        <v>4.44529274795412</v>
      </c>
      <c r="U30" s="36" t="n">
        <f aca="false">T30*(1-Assumptions!$F$27)</f>
        <v>4.17857518307687</v>
      </c>
      <c r="V30" s="36" t="n">
        <f aca="false">U30*(1-Assumptions!$F$27)</f>
        <v>3.92786067209226</v>
      </c>
      <c r="W30" s="36" t="n">
        <f aca="false">V30*(1-Assumptions!$F$27)</f>
        <v>3.69218903176672</v>
      </c>
      <c r="X30" s="36" t="n">
        <f aca="false">W30*(1-Assumptions!$F$27)</f>
        <v>3.47065768986072</v>
      </c>
      <c r="Y30" s="36" t="n">
        <f aca="false">X30*(1-Assumptions!$F$27)</f>
        <v>3.26241822846908</v>
      </c>
      <c r="Z30" s="36" t="n">
        <f aca="false">Y30*(1-Assumptions!$F$27)</f>
        <v>3.06667313476093</v>
      </c>
      <c r="AA30" s="36" t="n">
        <f aca="false">Z30*(1-Assumptions!$F$27)</f>
        <v>2.88267274667528</v>
      </c>
      <c r="AB30" s="36" t="n">
        <f aca="false">AA30*(1-Assumptions!$F$27)</f>
        <v>2.70971238187476</v>
      </c>
      <c r="AC30" s="36" t="n">
        <f aca="false">AB30*(1-Assumptions!$F$27)</f>
        <v>2.54712963896227</v>
      </c>
      <c r="AD30" s="36" t="n">
        <f aca="false">AC30*(1-Assumptions!$F$27)</f>
        <v>2.39430186062454</v>
      </c>
      <c r="AE30" s="36" t="n">
        <f aca="false">AD30*(1-Assumptions!$F$27)</f>
        <v>2.25064374898706</v>
      </c>
      <c r="AF30" s="36" t="n">
        <f aca="false">AE30*(1-Assumptions!$F$27)</f>
        <v>2.11560512404784</v>
      </c>
      <c r="AG30" s="36" t="n">
        <f aca="false">AF30*(1-Assumptions!$F$27)</f>
        <v>1.98866881660497</v>
      </c>
      <c r="AH30" s="36" t="n">
        <f aca="false">AG30*(1-Assumptions!$F$27)</f>
        <v>1.86934868760867</v>
      </c>
      <c r="AI30" s="36" t="n">
        <f aca="false">AH30*(1-Assumptions!$F$27)</f>
        <v>1.75718776635215</v>
      </c>
      <c r="AJ30" s="36" t="n">
        <f aca="false">AI30*(1-Assumptions!$F$27)</f>
        <v>1.65175650037102</v>
      </c>
      <c r="AK30" s="36" t="n">
        <f aca="false">AJ30*(1-Assumptions!$F$27)</f>
        <v>1.55265111034876</v>
      </c>
      <c r="AL30" s="36" t="n">
        <f aca="false">AK30*(1-Assumptions!$F$27)</f>
        <v>1.45949204372783</v>
      </c>
    </row>
    <row r="31" customFormat="false" ht="15" hidden="false" customHeight="false" outlineLevel="0" collapsed="false">
      <c r="A31" s="8" t="s">
        <v>185</v>
      </c>
      <c r="B31" s="14" t="s">
        <v>161</v>
      </c>
      <c r="C31" s="43" t="n">
        <v>0</v>
      </c>
      <c r="D31" s="43" t="n">
        <v>0</v>
      </c>
      <c r="E31" s="43" t="n">
        <v>0</v>
      </c>
      <c r="F31" s="43" t="n">
        <v>0</v>
      </c>
      <c r="G31" s="36" t="n">
        <f aca="false">G15</f>
        <v>11.6386785814103</v>
      </c>
      <c r="H31" s="36" t="n">
        <f aca="false">G31*(1-Assumptions!$F$27)</f>
        <v>10.9403578665257</v>
      </c>
      <c r="I31" s="36" t="n">
        <f aca="false">H31*(1-Assumptions!$F$27)</f>
        <v>10.2839363945341</v>
      </c>
      <c r="J31" s="36" t="n">
        <f aca="false">I31*(1-Assumptions!$F$27)</f>
        <v>9.6669002108621</v>
      </c>
      <c r="K31" s="36" t="n">
        <f aca="false">J31*(1-Assumptions!$F$27)</f>
        <v>9.08688619821037</v>
      </c>
      <c r="L31" s="36" t="n">
        <f aca="false">K31*(1-Assumptions!$F$27)</f>
        <v>8.54167302631775</v>
      </c>
      <c r="M31" s="36" t="n">
        <f aca="false">L31*(1-Assumptions!$F$27)</f>
        <v>8.02917264473868</v>
      </c>
      <c r="N31" s="36" t="n">
        <f aca="false">M31*(1-Assumptions!$F$27)</f>
        <v>7.54742228605436</v>
      </c>
      <c r="O31" s="36" t="n">
        <f aca="false">N31*(1-Assumptions!$F$27)</f>
        <v>7.0945769488911</v>
      </c>
      <c r="P31" s="36" t="n">
        <f aca="false">O31*(1-Assumptions!$F$27)</f>
        <v>6.66890233195763</v>
      </c>
      <c r="Q31" s="36" t="n">
        <f aca="false">P31*(1-Assumptions!$F$27)</f>
        <v>6.26876819204017</v>
      </c>
      <c r="R31" s="36" t="n">
        <f aca="false">Q31*(1-Assumptions!$F$27)</f>
        <v>5.89264210051776</v>
      </c>
      <c r="S31" s="36" t="n">
        <f aca="false">R31*(1-Assumptions!$F$27)</f>
        <v>5.5390835744867</v>
      </c>
      <c r="T31" s="36" t="n">
        <f aca="false">S31*(1-Assumptions!$F$27)</f>
        <v>5.20673856001749</v>
      </c>
      <c r="U31" s="36" t="n">
        <f aca="false">T31*(1-Assumptions!$F$27)</f>
        <v>4.89433424641644</v>
      </c>
      <c r="V31" s="36" t="n">
        <f aca="false">U31*(1-Assumptions!$F$27)</f>
        <v>4.60067419163146</v>
      </c>
      <c r="W31" s="36" t="n">
        <f aca="false">V31*(1-Assumptions!$F$27)</f>
        <v>4.32463374013357</v>
      </c>
      <c r="X31" s="36" t="n">
        <f aca="false">W31*(1-Assumptions!$F$27)</f>
        <v>4.06515571572556</v>
      </c>
      <c r="Y31" s="36" t="n">
        <f aca="false">X31*(1-Assumptions!$F$27)</f>
        <v>3.82124637278202</v>
      </c>
      <c r="Z31" s="36" t="n">
        <f aca="false">Y31*(1-Assumptions!$F$27)</f>
        <v>3.5919715904151</v>
      </c>
      <c r="AA31" s="36" t="n">
        <f aca="false">Z31*(1-Assumptions!$F$27)</f>
        <v>3.37645329499019</v>
      </c>
      <c r="AB31" s="36" t="n">
        <f aca="false">AA31*(1-Assumptions!$F$27)</f>
        <v>3.17386609729078</v>
      </c>
      <c r="AC31" s="36" t="n">
        <f aca="false">AB31*(1-Assumptions!$F$27)</f>
        <v>2.98343413145334</v>
      </c>
      <c r="AD31" s="36" t="n">
        <f aca="false">AC31*(1-Assumptions!$F$27)</f>
        <v>2.80442808356613</v>
      </c>
      <c r="AE31" s="36" t="n">
        <f aca="false">AD31*(1-Assumptions!$F$27)</f>
        <v>2.63616239855217</v>
      </c>
      <c r="AF31" s="36" t="n">
        <f aca="false">AE31*(1-Assumptions!$F$27)</f>
        <v>2.47799265463904</v>
      </c>
      <c r="AG31" s="36" t="n">
        <f aca="false">AF31*(1-Assumptions!$F$27)</f>
        <v>2.32931309536069</v>
      </c>
      <c r="AH31" s="36" t="n">
        <f aca="false">AG31*(1-Assumptions!$F$27)</f>
        <v>2.18955430963905</v>
      </c>
      <c r="AI31" s="36" t="n">
        <f aca="false">AH31*(1-Assumptions!$F$27)</f>
        <v>2.05818105106071</v>
      </c>
      <c r="AJ31" s="36" t="n">
        <f aca="false">AI31*(1-Assumptions!$F$27)</f>
        <v>1.93469018799707</v>
      </c>
      <c r="AK31" s="36" t="n">
        <f aca="false">AJ31*(1-Assumptions!$F$27)</f>
        <v>1.81860877671724</v>
      </c>
      <c r="AL31" s="36" t="n">
        <f aca="false">AK31*(1-Assumptions!$F$27)</f>
        <v>1.70949225011421</v>
      </c>
    </row>
    <row r="32" customFormat="false" ht="15" hidden="false" customHeight="false" outlineLevel="0" collapsed="false">
      <c r="A32" s="8" t="s">
        <v>186</v>
      </c>
      <c r="B32" s="14" t="s">
        <v>161</v>
      </c>
      <c r="C32" s="43" t="n">
        <v>0</v>
      </c>
      <c r="D32" s="43" t="n">
        <v>0</v>
      </c>
      <c r="E32" s="43" t="n">
        <v>0</v>
      </c>
      <c r="F32" s="43" t="n">
        <v>0</v>
      </c>
      <c r="G32" s="43" t="n">
        <v>0</v>
      </c>
      <c r="H32" s="36" t="n">
        <f aca="false">H15</f>
        <v>12.8152663548408</v>
      </c>
      <c r="I32" s="36" t="n">
        <f aca="false">H32*(1-Assumptions!$F$27)</f>
        <v>12.0463503735503</v>
      </c>
      <c r="J32" s="36" t="n">
        <f aca="false">I32*(1-Assumptions!$F$27)</f>
        <v>11.3235693511373</v>
      </c>
      <c r="K32" s="36" t="n">
        <f aca="false">J32*(1-Assumptions!$F$27)</f>
        <v>10.6441551900691</v>
      </c>
      <c r="L32" s="36" t="n">
        <f aca="false">K32*(1-Assumptions!$F$27)</f>
        <v>10.0055058786649</v>
      </c>
      <c r="M32" s="36" t="n">
        <f aca="false">L32*(1-Assumptions!$F$27)</f>
        <v>9.40517552594502</v>
      </c>
      <c r="N32" s="36" t="n">
        <f aca="false">M32*(1-Assumptions!$F$27)</f>
        <v>8.84086499438832</v>
      </c>
      <c r="O32" s="36" t="n">
        <f aca="false">N32*(1-Assumptions!$F$27)</f>
        <v>8.31041309472502</v>
      </c>
      <c r="P32" s="36" t="n">
        <f aca="false">O32*(1-Assumptions!$F$27)</f>
        <v>7.81178830904152</v>
      </c>
      <c r="Q32" s="36" t="n">
        <f aca="false">P32*(1-Assumptions!$F$27)</f>
        <v>7.34308101049903</v>
      </c>
      <c r="R32" s="36" t="n">
        <f aca="false">Q32*(1-Assumptions!$F$27)</f>
        <v>6.90249614986909</v>
      </c>
      <c r="S32" s="36" t="n">
        <f aca="false">R32*(1-Assumptions!$F$27)</f>
        <v>6.48834638087694</v>
      </c>
      <c r="T32" s="36" t="n">
        <f aca="false">S32*(1-Assumptions!$F$27)</f>
        <v>6.09904559802432</v>
      </c>
      <c r="U32" s="36" t="n">
        <f aca="false">T32*(1-Assumptions!$F$27)</f>
        <v>5.73310286214286</v>
      </c>
      <c r="V32" s="36" t="n">
        <f aca="false">U32*(1-Assumptions!$F$27)</f>
        <v>5.38911669041429</v>
      </c>
      <c r="W32" s="36" t="n">
        <f aca="false">V32*(1-Assumptions!$F$27)</f>
        <v>5.06576968898944</v>
      </c>
      <c r="X32" s="36" t="n">
        <f aca="false">W32*(1-Assumptions!$F$27)</f>
        <v>4.76182350765007</v>
      </c>
      <c r="Y32" s="36" t="n">
        <f aca="false">X32*(1-Assumptions!$F$27)</f>
        <v>4.47611409719106</v>
      </c>
      <c r="Z32" s="36" t="n">
        <f aca="false">Y32*(1-Assumptions!$F$27)</f>
        <v>4.2075472513596</v>
      </c>
      <c r="AA32" s="36" t="n">
        <f aca="false">Z32*(1-Assumptions!$F$27)</f>
        <v>3.95509441627802</v>
      </c>
      <c r="AB32" s="36" t="n">
        <f aca="false">AA32*(1-Assumptions!$F$27)</f>
        <v>3.71778875130134</v>
      </c>
      <c r="AC32" s="36" t="n">
        <f aca="false">AB32*(1-Assumptions!$F$27)</f>
        <v>3.49472142622326</v>
      </c>
      <c r="AD32" s="36" t="n">
        <f aca="false">AC32*(1-Assumptions!$F$27)</f>
        <v>3.28503814064987</v>
      </c>
      <c r="AE32" s="36" t="n">
        <f aca="false">AD32*(1-Assumptions!$F$27)</f>
        <v>3.08793585221087</v>
      </c>
      <c r="AF32" s="36" t="n">
        <f aca="false">AE32*(1-Assumptions!$F$27)</f>
        <v>2.90265970107822</v>
      </c>
      <c r="AG32" s="36" t="n">
        <f aca="false">AF32*(1-Assumptions!$F$27)</f>
        <v>2.72850011901353</v>
      </c>
      <c r="AH32" s="36" t="n">
        <f aca="false">AG32*(1-Assumptions!$F$27)</f>
        <v>2.56479011187272</v>
      </c>
      <c r="AI32" s="36" t="n">
        <f aca="false">AH32*(1-Assumptions!$F$27)</f>
        <v>2.41090270516035</v>
      </c>
      <c r="AJ32" s="36" t="n">
        <f aca="false">AI32*(1-Assumptions!$F$27)</f>
        <v>2.26624854285073</v>
      </c>
      <c r="AK32" s="36" t="n">
        <f aca="false">AJ32*(1-Assumptions!$F$27)</f>
        <v>2.13027363027969</v>
      </c>
      <c r="AL32" s="36" t="n">
        <f aca="false">AK32*(1-Assumptions!$F$27)</f>
        <v>2.00245721246291</v>
      </c>
    </row>
    <row r="33" customFormat="false" ht="15" hidden="false" customHeight="false" outlineLevel="0" collapsed="false">
      <c r="A33" s="8" t="s">
        <v>187</v>
      </c>
      <c r="B33" s="14" t="s">
        <v>161</v>
      </c>
      <c r="C33" s="43" t="n">
        <v>0</v>
      </c>
      <c r="D33" s="43" t="n">
        <v>0</v>
      </c>
      <c r="E33" s="43" t="n">
        <v>0</v>
      </c>
      <c r="F33" s="43" t="n">
        <v>0</v>
      </c>
      <c r="G33" s="43" t="n">
        <v>0</v>
      </c>
      <c r="H33" s="43" t="n">
        <v>0</v>
      </c>
      <c r="I33" s="36" t="n">
        <f aca="false">I15</f>
        <v>14.1122852131179</v>
      </c>
      <c r="J33" s="36" t="n">
        <f aca="false">I33*(1-Assumptions!$F$27)</f>
        <v>13.2655481003308</v>
      </c>
      <c r="K33" s="36" t="n">
        <f aca="false">J33*(1-Assumptions!$F$27)</f>
        <v>12.4696152143109</v>
      </c>
      <c r="L33" s="36" t="n">
        <f aca="false">K33*(1-Assumptions!$F$27)</f>
        <v>11.7214383014523</v>
      </c>
      <c r="M33" s="36" t="n">
        <f aca="false">L33*(1-Assumptions!$F$27)</f>
        <v>11.0181520033652</v>
      </c>
      <c r="N33" s="36" t="n">
        <f aca="false">M33*(1-Assumptions!$F$27)</f>
        <v>10.3570628831632</v>
      </c>
      <c r="O33" s="36" t="n">
        <f aca="false">N33*(1-Assumptions!$F$27)</f>
        <v>9.73563911017345</v>
      </c>
      <c r="P33" s="36" t="n">
        <f aca="false">O33*(1-Assumptions!$F$27)</f>
        <v>9.15150076356304</v>
      </c>
      <c r="Q33" s="36" t="n">
        <f aca="false">P33*(1-Assumptions!$F$27)</f>
        <v>8.60241071774926</v>
      </c>
      <c r="R33" s="36" t="n">
        <f aca="false">Q33*(1-Assumptions!$F$27)</f>
        <v>8.0862660746843</v>
      </c>
      <c r="S33" s="36" t="n">
        <f aca="false">R33*(1-Assumptions!$F$27)</f>
        <v>7.60109011020324</v>
      </c>
      <c r="T33" s="36" t="n">
        <f aca="false">S33*(1-Assumptions!$F$27)</f>
        <v>7.14502470359105</v>
      </c>
      <c r="U33" s="36" t="n">
        <f aca="false">T33*(1-Assumptions!$F$27)</f>
        <v>6.71632322137558</v>
      </c>
      <c r="V33" s="36" t="n">
        <f aca="false">U33*(1-Assumptions!$F$27)</f>
        <v>6.31334382809305</v>
      </c>
      <c r="W33" s="36" t="n">
        <f aca="false">V33*(1-Assumptions!$F$27)</f>
        <v>5.93454319840746</v>
      </c>
      <c r="X33" s="36" t="n">
        <f aca="false">W33*(1-Assumptions!$F$27)</f>
        <v>5.57847060650302</v>
      </c>
      <c r="Y33" s="36" t="n">
        <f aca="false">X33*(1-Assumptions!$F$27)</f>
        <v>5.24376237011284</v>
      </c>
      <c r="Z33" s="36" t="n">
        <f aca="false">Y33*(1-Assumptions!$F$27)</f>
        <v>4.92913662790607</v>
      </c>
      <c r="AA33" s="36" t="n">
        <f aca="false">Z33*(1-Assumptions!$F$27)</f>
        <v>4.6333884302317</v>
      </c>
      <c r="AB33" s="36" t="n">
        <f aca="false">AA33*(1-Assumptions!$F$27)</f>
        <v>4.3553851244178</v>
      </c>
      <c r="AC33" s="36" t="n">
        <f aca="false">AB33*(1-Assumptions!$F$27)</f>
        <v>4.09406201695273</v>
      </c>
      <c r="AD33" s="36" t="n">
        <f aca="false">AC33*(1-Assumptions!$F$27)</f>
        <v>3.84841829593557</v>
      </c>
      <c r="AE33" s="36" t="n">
        <f aca="false">AD33*(1-Assumptions!$F$27)</f>
        <v>3.61751319817943</v>
      </c>
      <c r="AF33" s="36" t="n">
        <f aca="false">AE33*(1-Assumptions!$F$27)</f>
        <v>3.40046240628867</v>
      </c>
      <c r="AG33" s="36" t="n">
        <f aca="false">AF33*(1-Assumptions!$F$27)</f>
        <v>3.19643466191135</v>
      </c>
      <c r="AH33" s="36" t="n">
        <f aca="false">AG33*(1-Assumptions!$F$27)</f>
        <v>3.00464858219666</v>
      </c>
      <c r="AI33" s="36" t="n">
        <f aca="false">AH33*(1-Assumptions!$F$27)</f>
        <v>2.82436966726486</v>
      </c>
      <c r="AJ33" s="36" t="n">
        <f aca="false">AI33*(1-Assumptions!$F$27)</f>
        <v>2.65490748722897</v>
      </c>
      <c r="AK33" s="36" t="n">
        <f aca="false">AJ33*(1-Assumptions!$F$27)</f>
        <v>2.49561303799523</v>
      </c>
      <c r="AL33" s="36" t="n">
        <f aca="false">AK33*(1-Assumptions!$F$27)</f>
        <v>2.34587625571552</v>
      </c>
    </row>
    <row r="34" customFormat="false" ht="15" hidden="false" customHeight="false" outlineLevel="0" collapsed="false">
      <c r="A34" s="8" t="s">
        <v>188</v>
      </c>
      <c r="B34" s="14" t="s">
        <v>161</v>
      </c>
      <c r="C34" s="43" t="n">
        <v>0</v>
      </c>
      <c r="D34" s="43" t="n">
        <v>0</v>
      </c>
      <c r="E34" s="43" t="n">
        <v>0</v>
      </c>
      <c r="F34" s="43" t="n">
        <v>0</v>
      </c>
      <c r="G34" s="43" t="n">
        <v>0</v>
      </c>
      <c r="H34" s="43" t="n">
        <v>0</v>
      </c>
      <c r="I34" s="43" t="n">
        <v>0</v>
      </c>
      <c r="J34" s="36" t="n">
        <f aca="false">J15</f>
        <v>15.5426734371601</v>
      </c>
      <c r="K34" s="36" t="n">
        <f aca="false">J34*(1-Assumptions!$F$27)</f>
        <v>14.6101130309305</v>
      </c>
      <c r="L34" s="36" t="n">
        <f aca="false">K34*(1-Assumptions!$F$27)</f>
        <v>13.7335062490746</v>
      </c>
      <c r="M34" s="36" t="n">
        <f aca="false">L34*(1-Assumptions!$F$27)</f>
        <v>12.9094958741302</v>
      </c>
      <c r="N34" s="36" t="n">
        <f aca="false">M34*(1-Assumptions!$F$27)</f>
        <v>12.1349261216824</v>
      </c>
      <c r="O34" s="36" t="n">
        <f aca="false">N34*(1-Assumptions!$F$27)</f>
        <v>11.4068305543814</v>
      </c>
      <c r="P34" s="36" t="n">
        <f aca="false">O34*(1-Assumptions!$F$27)</f>
        <v>10.7224207211185</v>
      </c>
      <c r="Q34" s="36" t="n">
        <f aca="false">P34*(1-Assumptions!$F$27)</f>
        <v>10.0790754778514</v>
      </c>
      <c r="R34" s="36" t="n">
        <f aca="false">Q34*(1-Assumptions!$F$27)</f>
        <v>9.47433094918033</v>
      </c>
      <c r="S34" s="36" t="n">
        <f aca="false">R34*(1-Assumptions!$F$27)</f>
        <v>8.90587109222951</v>
      </c>
      <c r="T34" s="36" t="n">
        <f aca="false">S34*(1-Assumptions!$F$27)</f>
        <v>8.37151882669574</v>
      </c>
      <c r="U34" s="36" t="n">
        <f aca="false">T34*(1-Assumptions!$F$27)</f>
        <v>7.86922769709399</v>
      </c>
      <c r="V34" s="36" t="n">
        <f aca="false">U34*(1-Assumptions!$F$27)</f>
        <v>7.39707403526835</v>
      </c>
      <c r="W34" s="36" t="n">
        <f aca="false">V34*(1-Assumptions!$F$27)</f>
        <v>6.95324959315225</v>
      </c>
      <c r="X34" s="36" t="n">
        <f aca="false">W34*(1-Assumptions!$F$27)</f>
        <v>6.53605461756311</v>
      </c>
      <c r="Y34" s="36" t="n">
        <f aca="false">X34*(1-Assumptions!$F$27)</f>
        <v>6.14389134050933</v>
      </c>
      <c r="Z34" s="36" t="n">
        <f aca="false">Y34*(1-Assumptions!$F$27)</f>
        <v>5.77525786007877</v>
      </c>
      <c r="AA34" s="36" t="n">
        <f aca="false">Z34*(1-Assumptions!$F$27)</f>
        <v>5.42874238847404</v>
      </c>
      <c r="AB34" s="36" t="n">
        <f aca="false">AA34*(1-Assumptions!$F$27)</f>
        <v>5.1030178451656</v>
      </c>
      <c r="AC34" s="36" t="n">
        <f aca="false">AB34*(1-Assumptions!$F$27)</f>
        <v>4.79683677445566</v>
      </c>
      <c r="AD34" s="36" t="n">
        <f aca="false">AC34*(1-Assumptions!$F$27)</f>
        <v>4.50902656798832</v>
      </c>
      <c r="AE34" s="36" t="n">
        <f aca="false">AD34*(1-Assumptions!$F$27)</f>
        <v>4.23848497390902</v>
      </c>
      <c r="AF34" s="36" t="n">
        <f aca="false">AE34*(1-Assumptions!$F$27)</f>
        <v>3.98417587547448</v>
      </c>
      <c r="AG34" s="36" t="n">
        <f aca="false">AF34*(1-Assumptions!$F$27)</f>
        <v>3.74512532294601</v>
      </c>
      <c r="AH34" s="36" t="n">
        <f aca="false">AG34*(1-Assumptions!$F$27)</f>
        <v>3.52041780356925</v>
      </c>
      <c r="AI34" s="36" t="n">
        <f aca="false">AH34*(1-Assumptions!$F$27)</f>
        <v>3.3091927353551</v>
      </c>
      <c r="AJ34" s="36" t="n">
        <f aca="false">AI34*(1-Assumptions!$F$27)</f>
        <v>3.11064117123379</v>
      </c>
      <c r="AK34" s="36" t="n">
        <f aca="false">AJ34*(1-Assumptions!$F$27)</f>
        <v>2.92400270095976</v>
      </c>
      <c r="AL34" s="36" t="n">
        <f aca="false">AK34*(1-Assumptions!$F$27)</f>
        <v>2.74856253890218</v>
      </c>
    </row>
    <row r="35" customFormat="false" ht="15" hidden="false" customHeight="false" outlineLevel="0" collapsed="false">
      <c r="A35" s="8" t="s">
        <v>189</v>
      </c>
      <c r="B35" s="14" t="s">
        <v>161</v>
      </c>
      <c r="C35" s="43" t="n">
        <v>0</v>
      </c>
      <c r="D35" s="43" t="n">
        <v>0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36" t="n">
        <f aca="false">K15</f>
        <v>17.1207923484281</v>
      </c>
      <c r="L35" s="36" t="n">
        <f aca="false">K35*(1-Assumptions!$F$27)</f>
        <v>16.0935448075224</v>
      </c>
      <c r="M35" s="36" t="n">
        <f aca="false">L35*(1-Assumptions!$F$27)</f>
        <v>15.1279321190711</v>
      </c>
      <c r="N35" s="36" t="n">
        <f aca="false">M35*(1-Assumptions!$F$27)</f>
        <v>14.2202561919268</v>
      </c>
      <c r="O35" s="36" t="n">
        <f aca="false">N35*(1-Assumptions!$F$27)</f>
        <v>13.3670408204112</v>
      </c>
      <c r="P35" s="36" t="n">
        <f aca="false">O35*(1-Assumptions!$F$27)</f>
        <v>12.5650183711865</v>
      </c>
      <c r="Q35" s="36" t="n">
        <f aca="false">P35*(1-Assumptions!$F$27)</f>
        <v>11.8111172689153</v>
      </c>
      <c r="R35" s="36" t="n">
        <f aca="false">Q35*(1-Assumptions!$F$27)</f>
        <v>11.1024502327804</v>
      </c>
      <c r="S35" s="36" t="n">
        <f aca="false">R35*(1-Assumptions!$F$27)</f>
        <v>10.4363032188136</v>
      </c>
      <c r="T35" s="36" t="n">
        <f aca="false">S35*(1-Assumptions!$F$27)</f>
        <v>9.81012502568478</v>
      </c>
      <c r="U35" s="36" t="n">
        <f aca="false">T35*(1-Assumptions!$F$27)</f>
        <v>9.22151752414369</v>
      </c>
      <c r="V35" s="36" t="n">
        <f aca="false">U35*(1-Assumptions!$F$27)</f>
        <v>8.66822647269507</v>
      </c>
      <c r="W35" s="36" t="n">
        <f aca="false">V35*(1-Assumptions!$F$27)</f>
        <v>8.14813288433336</v>
      </c>
      <c r="X35" s="36" t="n">
        <f aca="false">W35*(1-Assumptions!$F$27)</f>
        <v>7.65924491127336</v>
      </c>
      <c r="Y35" s="36" t="n">
        <f aca="false">X35*(1-Assumptions!$F$27)</f>
        <v>7.19969021659696</v>
      </c>
      <c r="Z35" s="36" t="n">
        <f aca="false">Y35*(1-Assumptions!$F$27)</f>
        <v>6.76770880360114</v>
      </c>
      <c r="AA35" s="36" t="n">
        <f aca="false">Z35*(1-Assumptions!$F$27)</f>
        <v>6.36164627538507</v>
      </c>
      <c r="AB35" s="36" t="n">
        <f aca="false">AA35*(1-Assumptions!$F$27)</f>
        <v>5.97994749886197</v>
      </c>
      <c r="AC35" s="36" t="n">
        <f aca="false">AB35*(1-Assumptions!$F$27)</f>
        <v>5.62115064893025</v>
      </c>
      <c r="AD35" s="36" t="n">
        <f aca="false">AC35*(1-Assumptions!$F$27)</f>
        <v>5.28388160999443</v>
      </c>
      <c r="AE35" s="36" t="n">
        <f aca="false">AD35*(1-Assumptions!$F$27)</f>
        <v>4.96684871339477</v>
      </c>
      <c r="AF35" s="36" t="n">
        <f aca="false">AE35*(1-Assumptions!$F$27)</f>
        <v>4.66883779059108</v>
      </c>
      <c r="AG35" s="36" t="n">
        <f aca="false">AF35*(1-Assumptions!$F$27)</f>
        <v>4.38870752315562</v>
      </c>
      <c r="AH35" s="36" t="n">
        <f aca="false">AG35*(1-Assumptions!$F$27)</f>
        <v>4.12538507176628</v>
      </c>
      <c r="AI35" s="36" t="n">
        <f aca="false">AH35*(1-Assumptions!$F$27)</f>
        <v>3.8778619674603</v>
      </c>
      <c r="AJ35" s="36" t="n">
        <f aca="false">AI35*(1-Assumptions!$F$27)</f>
        <v>3.64519024941268</v>
      </c>
      <c r="AK35" s="36" t="n">
        <f aca="false">AJ35*(1-Assumptions!$F$27)</f>
        <v>3.42647883444792</v>
      </c>
      <c r="AL35" s="36" t="n">
        <f aca="false">AK35*(1-Assumptions!$F$27)</f>
        <v>3.22089010438105</v>
      </c>
    </row>
    <row r="36" customFormat="false" ht="15" hidden="false" customHeight="false" outlineLevel="0" collapsed="false">
      <c r="A36" s="8" t="s">
        <v>190</v>
      </c>
      <c r="B36" s="14" t="s">
        <v>161</v>
      </c>
      <c r="C36" s="43" t="n">
        <v>0</v>
      </c>
      <c r="D36" s="43" t="n">
        <v>0</v>
      </c>
      <c r="E36" s="43" t="n">
        <v>0</v>
      </c>
      <c r="F36" s="43" t="n">
        <v>0</v>
      </c>
      <c r="G36" s="43" t="n">
        <v>0</v>
      </c>
      <c r="H36" s="43" t="n">
        <v>0</v>
      </c>
      <c r="I36" s="43" t="n">
        <v>0</v>
      </c>
      <c r="J36" s="43" t="n">
        <v>0</v>
      </c>
      <c r="K36" s="43" t="n">
        <v>0</v>
      </c>
      <c r="L36" s="36" t="n">
        <f aca="false">L15</f>
        <v>18.8625871960287</v>
      </c>
      <c r="M36" s="36" t="n">
        <f aca="false">L36*(1-Assumptions!$F$27)</f>
        <v>17.730831964267</v>
      </c>
      <c r="N36" s="36" t="n">
        <f aca="false">M36*(1-Assumptions!$F$27)</f>
        <v>16.666982046411</v>
      </c>
      <c r="O36" s="36" t="n">
        <f aca="false">N36*(1-Assumptions!$F$27)</f>
        <v>15.6669631236263</v>
      </c>
      <c r="P36" s="36" t="n">
        <f aca="false">O36*(1-Assumptions!$F$27)</f>
        <v>14.7269453362087</v>
      </c>
      <c r="Q36" s="36" t="n">
        <f aca="false">P36*(1-Assumptions!$F$27)</f>
        <v>13.8433286160362</v>
      </c>
      <c r="R36" s="36" t="n">
        <f aca="false">Q36*(1-Assumptions!$F$27)</f>
        <v>13.012728899074</v>
      </c>
      <c r="S36" s="36" t="n">
        <f aca="false">R36*(1-Assumptions!$F$27)</f>
        <v>12.2319651651296</v>
      </c>
      <c r="T36" s="36" t="n">
        <f aca="false">S36*(1-Assumptions!$F$27)</f>
        <v>11.4980472552218</v>
      </c>
      <c r="U36" s="36" t="n">
        <f aca="false">T36*(1-Assumptions!$F$27)</f>
        <v>10.8081644199085</v>
      </c>
      <c r="V36" s="36" t="n">
        <f aca="false">U36*(1-Assumptions!$F$27)</f>
        <v>10.159674554714</v>
      </c>
      <c r="W36" s="36" t="n">
        <f aca="false">V36*(1-Assumptions!$F$27)</f>
        <v>9.55009408143116</v>
      </c>
      <c r="X36" s="36" t="n">
        <f aca="false">W36*(1-Assumptions!$F$27)</f>
        <v>8.97708843654529</v>
      </c>
      <c r="Y36" s="36" t="n">
        <f aca="false">X36*(1-Assumptions!$F$27)</f>
        <v>8.43846313035257</v>
      </c>
      <c r="Z36" s="36" t="n">
        <f aca="false">Y36*(1-Assumptions!$F$27)</f>
        <v>7.93215534253142</v>
      </c>
      <c r="AA36" s="36" t="n">
        <f aca="false">Z36*(1-Assumptions!$F$27)</f>
        <v>7.45622602197953</v>
      </c>
      <c r="AB36" s="36" t="n">
        <f aca="false">AA36*(1-Assumptions!$F$27)</f>
        <v>7.00885246066076</v>
      </c>
      <c r="AC36" s="36" t="n">
        <f aca="false">AB36*(1-Assumptions!$F$27)</f>
        <v>6.58832131302112</v>
      </c>
      <c r="AD36" s="36" t="n">
        <f aca="false">AC36*(1-Assumptions!$F$27)</f>
        <v>6.19302203423985</v>
      </c>
      <c r="AE36" s="36" t="n">
        <f aca="false">AD36*(1-Assumptions!$F$27)</f>
        <v>5.82144071218546</v>
      </c>
      <c r="AF36" s="36" t="n">
        <f aca="false">AE36*(1-Assumptions!$F$27)</f>
        <v>5.47215426945433</v>
      </c>
      <c r="AG36" s="36" t="n">
        <f aca="false">AF36*(1-Assumptions!$F$27)</f>
        <v>5.14382501328707</v>
      </c>
      <c r="AH36" s="36" t="n">
        <f aca="false">AG36*(1-Assumptions!$F$27)</f>
        <v>4.83519551248985</v>
      </c>
      <c r="AI36" s="36" t="n">
        <f aca="false">AH36*(1-Assumptions!$F$27)</f>
        <v>4.54508378174045</v>
      </c>
      <c r="AJ36" s="36" t="n">
        <f aca="false">AI36*(1-Assumptions!$F$27)</f>
        <v>4.27237875483603</v>
      </c>
      <c r="AK36" s="36" t="n">
        <f aca="false">AJ36*(1-Assumptions!$F$27)</f>
        <v>4.01603602954586</v>
      </c>
      <c r="AL36" s="36" t="n">
        <f aca="false">AK36*(1-Assumptions!$F$27)</f>
        <v>3.77507386777311</v>
      </c>
    </row>
    <row r="37" customFormat="false" ht="15" hidden="false" customHeight="false" outlineLevel="0" collapsed="false">
      <c r="A37" s="8" t="s">
        <v>191</v>
      </c>
      <c r="B37" s="14" t="s">
        <v>161</v>
      </c>
      <c r="C37" s="43" t="n">
        <v>0</v>
      </c>
      <c r="D37" s="43" t="n">
        <v>0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0</v>
      </c>
      <c r="K37" s="43" t="n">
        <v>0</v>
      </c>
      <c r="L37" s="43" t="n">
        <v>0</v>
      </c>
      <c r="M37" s="36" t="n">
        <f aca="false">M15</f>
        <v>20.7857665321301</v>
      </c>
      <c r="N37" s="36" t="n">
        <f aca="false">M37*(1-Assumptions!$F$27)</f>
        <v>19.5386205402023</v>
      </c>
      <c r="O37" s="36" t="n">
        <f aca="false">N37*(1-Assumptions!$F$27)</f>
        <v>18.3663033077902</v>
      </c>
      <c r="P37" s="36" t="n">
        <f aca="false">O37*(1-Assumptions!$F$27)</f>
        <v>17.2643251093228</v>
      </c>
      <c r="Q37" s="36" t="n">
        <f aca="false">P37*(1-Assumptions!$F$27)</f>
        <v>16.2284656027634</v>
      </c>
      <c r="R37" s="36" t="n">
        <f aca="false">Q37*(1-Assumptions!$F$27)</f>
        <v>15.2547576665976</v>
      </c>
      <c r="S37" s="36" t="n">
        <f aca="false">R37*(1-Assumptions!$F$27)</f>
        <v>14.3394722066017</v>
      </c>
      <c r="T37" s="36" t="n">
        <f aca="false">S37*(1-Assumptions!$F$27)</f>
        <v>13.4791038742056</v>
      </c>
      <c r="U37" s="36" t="n">
        <f aca="false">T37*(1-Assumptions!$F$27)</f>
        <v>12.6703576417533</v>
      </c>
      <c r="V37" s="36" t="n">
        <f aca="false">U37*(1-Assumptions!$F$27)</f>
        <v>11.9101361832481</v>
      </c>
      <c r="W37" s="36" t="n">
        <f aca="false">V37*(1-Assumptions!$F$27)</f>
        <v>11.1955280122532</v>
      </c>
      <c r="X37" s="36" t="n">
        <f aca="false">W37*(1-Assumptions!$F$27)</f>
        <v>10.523796331518</v>
      </c>
      <c r="Y37" s="36" t="n">
        <f aca="false">X37*(1-Assumptions!$F$27)</f>
        <v>9.89236855162693</v>
      </c>
      <c r="Z37" s="36" t="n">
        <f aca="false">Y37*(1-Assumptions!$F$27)</f>
        <v>9.29882643852931</v>
      </c>
      <c r="AA37" s="36" t="n">
        <f aca="false">Z37*(1-Assumptions!$F$27)</f>
        <v>8.74089685221756</v>
      </c>
      <c r="AB37" s="36" t="n">
        <f aca="false">AA37*(1-Assumptions!$F$27)</f>
        <v>8.2164430410845</v>
      </c>
      <c r="AC37" s="36" t="n">
        <f aca="false">AB37*(1-Assumptions!$F$27)</f>
        <v>7.72345645861943</v>
      </c>
      <c r="AD37" s="36" t="n">
        <f aca="false">AC37*(1-Assumptions!$F$27)</f>
        <v>7.26004907110227</v>
      </c>
      <c r="AE37" s="36" t="n">
        <f aca="false">AD37*(1-Assumptions!$F$27)</f>
        <v>6.82444612683613</v>
      </c>
      <c r="AF37" s="36" t="n">
        <f aca="false">AE37*(1-Assumptions!$F$27)</f>
        <v>6.41497935922596</v>
      </c>
      <c r="AG37" s="36" t="n">
        <f aca="false">AF37*(1-Assumptions!$F$27)</f>
        <v>6.0300805976724</v>
      </c>
      <c r="AH37" s="36" t="n">
        <f aca="false">AG37*(1-Assumptions!$F$27)</f>
        <v>5.66827576181206</v>
      </c>
      <c r="AI37" s="36" t="n">
        <f aca="false">AH37*(1-Assumptions!$F$27)</f>
        <v>5.32817921610333</v>
      </c>
      <c r="AJ37" s="36" t="n">
        <f aca="false">AI37*(1-Assumptions!$F$27)</f>
        <v>5.00848846313713</v>
      </c>
      <c r="AK37" s="36" t="n">
        <f aca="false">AJ37*(1-Assumptions!$F$27)</f>
        <v>4.70797915534891</v>
      </c>
      <c r="AL37" s="36" t="n">
        <f aca="false">AK37*(1-Assumptions!$F$27)</f>
        <v>4.42550040602797</v>
      </c>
    </row>
    <row r="38" customFormat="false" ht="15" hidden="false" customHeight="false" outlineLevel="0" collapsed="false">
      <c r="A38" s="8" t="s">
        <v>192</v>
      </c>
      <c r="B38" s="14" t="s">
        <v>161</v>
      </c>
      <c r="C38" s="43" t="n">
        <v>0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0</v>
      </c>
      <c r="J38" s="43" t="n">
        <v>0</v>
      </c>
      <c r="K38" s="43" t="n">
        <v>0</v>
      </c>
      <c r="L38" s="43" t="n">
        <v>0</v>
      </c>
      <c r="M38" s="43" t="n">
        <v>0</v>
      </c>
      <c r="N38" s="36" t="n">
        <f aca="false">N15</f>
        <v>22.9100022304377</v>
      </c>
      <c r="O38" s="36" t="n">
        <f aca="false">N38*(1-Assumptions!$F$27)</f>
        <v>21.5354020966114</v>
      </c>
      <c r="P38" s="36" t="n">
        <f aca="false">O38*(1-Assumptions!$F$27)</f>
        <v>20.2432779708147</v>
      </c>
      <c r="Q38" s="36" t="n">
        <f aca="false">P38*(1-Assumptions!$F$27)</f>
        <v>19.0286812925659</v>
      </c>
      <c r="R38" s="36" t="n">
        <f aca="false">Q38*(1-Assumptions!$F$27)</f>
        <v>17.8869604150119</v>
      </c>
      <c r="S38" s="36" t="n">
        <f aca="false">R38*(1-Assumptions!$F$27)</f>
        <v>16.8137427901112</v>
      </c>
      <c r="T38" s="36" t="n">
        <f aca="false">S38*(1-Assumptions!$F$27)</f>
        <v>15.8049182227045</v>
      </c>
      <c r="U38" s="36" t="n">
        <f aca="false">T38*(1-Assumptions!$F$27)</f>
        <v>14.8566231293422</v>
      </c>
      <c r="V38" s="36" t="n">
        <f aca="false">U38*(1-Assumptions!$F$27)</f>
        <v>13.9652257415817</v>
      </c>
      <c r="W38" s="36" t="n">
        <f aca="false">V38*(1-Assumptions!$F$27)</f>
        <v>13.1273121970868</v>
      </c>
      <c r="X38" s="36" t="n">
        <f aca="false">W38*(1-Assumptions!$F$27)</f>
        <v>12.3396734652616</v>
      </c>
      <c r="Y38" s="36" t="n">
        <f aca="false">X38*(1-Assumptions!$F$27)</f>
        <v>11.5992930573459</v>
      </c>
      <c r="Z38" s="36" t="n">
        <f aca="false">Y38*(1-Assumptions!$F$27)</f>
        <v>10.9033354739051</v>
      </c>
      <c r="AA38" s="36" t="n">
        <f aca="false">Z38*(1-Assumptions!$F$27)</f>
        <v>10.2491353454708</v>
      </c>
      <c r="AB38" s="36" t="n">
        <f aca="false">AA38*(1-Assumptions!$F$27)</f>
        <v>9.63418722474258</v>
      </c>
      <c r="AC38" s="36" t="n">
        <f aca="false">AB38*(1-Assumptions!$F$27)</f>
        <v>9.05613599125803</v>
      </c>
      <c r="AD38" s="36" t="n">
        <f aca="false">AC38*(1-Assumptions!$F$27)</f>
        <v>8.51276783178254</v>
      </c>
      <c r="AE38" s="36" t="n">
        <f aca="false">AD38*(1-Assumptions!$F$27)</f>
        <v>8.00200176187559</v>
      </c>
      <c r="AF38" s="36" t="n">
        <f aca="false">AE38*(1-Assumptions!$F$27)</f>
        <v>7.52188165616305</v>
      </c>
      <c r="AG38" s="36" t="n">
        <f aca="false">AF38*(1-Assumptions!$F$27)</f>
        <v>7.07056875679327</v>
      </c>
      <c r="AH38" s="36" t="n">
        <f aca="false">AG38*(1-Assumptions!$F$27)</f>
        <v>6.64633463138567</v>
      </c>
      <c r="AI38" s="36" t="n">
        <f aca="false">AH38*(1-Assumptions!$F$27)</f>
        <v>6.24755455350253</v>
      </c>
      <c r="AJ38" s="36" t="n">
        <f aca="false">AI38*(1-Assumptions!$F$27)</f>
        <v>5.87270128029238</v>
      </c>
      <c r="AK38" s="36" t="n">
        <f aca="false">AJ38*(1-Assumptions!$F$27)</f>
        <v>5.52033920347484</v>
      </c>
      <c r="AL38" s="36" t="n">
        <f aca="false">AK38*(1-Assumptions!$F$27)</f>
        <v>5.18911885126635</v>
      </c>
    </row>
    <row r="39" customFormat="false" ht="15" hidden="false" customHeight="false" outlineLevel="0" collapsed="false">
      <c r="A39" s="8" t="s">
        <v>193</v>
      </c>
      <c r="B39" s="14" t="s">
        <v>161</v>
      </c>
      <c r="C39" s="43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0</v>
      </c>
      <c r="J39" s="43" t="n">
        <v>0</v>
      </c>
      <c r="K39" s="43" t="n">
        <v>0</v>
      </c>
      <c r="L39" s="43" t="n">
        <v>0</v>
      </c>
      <c r="M39" s="43" t="n">
        <v>0</v>
      </c>
      <c r="N39" s="43" t="n">
        <v>0</v>
      </c>
      <c r="O39" s="36" t="n">
        <f aca="false">O15</f>
        <v>25.2571525558483</v>
      </c>
      <c r="P39" s="36" t="n">
        <f aca="false">O39*(1-Assumptions!$F$27)</f>
        <v>23.7417234024974</v>
      </c>
      <c r="Q39" s="36" t="n">
        <f aca="false">P39*(1-Assumptions!$F$27)</f>
        <v>22.3172199983476</v>
      </c>
      <c r="R39" s="36" t="n">
        <f aca="false">Q39*(1-Assumptions!$F$27)</f>
        <v>20.9781867984467</v>
      </c>
      <c r="S39" s="36" t="n">
        <f aca="false">R39*(1-Assumptions!$F$27)</f>
        <v>19.7194955905399</v>
      </c>
      <c r="T39" s="36" t="n">
        <f aca="false">S39*(1-Assumptions!$F$27)</f>
        <v>18.5363258551075</v>
      </c>
      <c r="U39" s="36" t="n">
        <f aca="false">T39*(1-Assumptions!$F$27)</f>
        <v>17.4241463038011</v>
      </c>
      <c r="V39" s="36" t="n">
        <f aca="false">U39*(1-Assumptions!$F$27)</f>
        <v>16.378697525573</v>
      </c>
      <c r="W39" s="36" t="n">
        <f aca="false">V39*(1-Assumptions!$F$27)</f>
        <v>15.3959756740386</v>
      </c>
      <c r="X39" s="36" t="n">
        <f aca="false">W39*(1-Assumptions!$F$27)</f>
        <v>14.4722171335963</v>
      </c>
      <c r="Y39" s="36" t="n">
        <f aca="false">X39*(1-Assumptions!$F$27)</f>
        <v>13.6038841055805</v>
      </c>
      <c r="Z39" s="36" t="n">
        <f aca="false">Y39*(1-Assumptions!$F$27)</f>
        <v>12.7876510592457</v>
      </c>
      <c r="AA39" s="36" t="n">
        <f aca="false">Z39*(1-Assumptions!$F$27)</f>
        <v>12.0203919956909</v>
      </c>
      <c r="AB39" s="36" t="n">
        <f aca="false">AA39*(1-Assumptions!$F$27)</f>
        <v>11.2991684759495</v>
      </c>
      <c r="AC39" s="36" t="n">
        <f aca="false">AB39*(1-Assumptions!$F$27)</f>
        <v>10.6212183673925</v>
      </c>
      <c r="AD39" s="36" t="n">
        <f aca="false">AC39*(1-Assumptions!$F$27)</f>
        <v>9.98394526534897</v>
      </c>
      <c r="AE39" s="36" t="n">
        <f aca="false">AD39*(1-Assumptions!$F$27)</f>
        <v>9.38490854942803</v>
      </c>
      <c r="AF39" s="36" t="n">
        <f aca="false">AE39*(1-Assumptions!$F$27)</f>
        <v>8.82181403646235</v>
      </c>
      <c r="AG39" s="36" t="n">
        <f aca="false">AF39*(1-Assumptions!$F$27)</f>
        <v>8.29250519427461</v>
      </c>
      <c r="AH39" s="36" t="n">
        <f aca="false">AG39*(1-Assumptions!$F$27)</f>
        <v>7.79495488261813</v>
      </c>
      <c r="AI39" s="36" t="n">
        <f aca="false">AH39*(1-Assumptions!$F$27)</f>
        <v>7.32725758966104</v>
      </c>
      <c r="AJ39" s="36" t="n">
        <f aca="false">AI39*(1-Assumptions!$F$27)</f>
        <v>6.88762213428138</v>
      </c>
      <c r="AK39" s="36" t="n">
        <f aca="false">AJ39*(1-Assumptions!$F$27)</f>
        <v>6.4743648062245</v>
      </c>
      <c r="AL39" s="36" t="n">
        <f aca="false">AK39*(1-Assumptions!$F$27)</f>
        <v>6.08590291785102</v>
      </c>
    </row>
    <row r="40" customFormat="false" ht="15" hidden="false" customHeight="false" outlineLevel="0" collapsed="false">
      <c r="A40" s="8" t="s">
        <v>194</v>
      </c>
      <c r="B40" s="14" t="s">
        <v>161</v>
      </c>
      <c r="C40" s="43" t="n">
        <v>0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0</v>
      </c>
      <c r="J40" s="43" t="n">
        <v>0</v>
      </c>
      <c r="K40" s="43" t="n">
        <v>0</v>
      </c>
      <c r="L40" s="43" t="n">
        <v>0</v>
      </c>
      <c r="M40" s="43" t="n">
        <v>0</v>
      </c>
      <c r="N40" s="43" t="n">
        <v>0</v>
      </c>
      <c r="O40" s="43" t="n">
        <v>0</v>
      </c>
      <c r="P40" s="36" t="n">
        <f aca="false">P15</f>
        <v>27.8499428167654</v>
      </c>
      <c r="Q40" s="36" t="n">
        <f aca="false">P40*(1-Assumptions!$F$27)</f>
        <v>26.1789462477595</v>
      </c>
      <c r="R40" s="36" t="n">
        <f aca="false">Q40*(1-Assumptions!$F$27)</f>
        <v>24.6082094728939</v>
      </c>
      <c r="S40" s="36" t="n">
        <f aca="false">R40*(1-Assumptions!$F$27)</f>
        <v>23.1317169045203</v>
      </c>
      <c r="T40" s="36" t="n">
        <f aca="false">S40*(1-Assumptions!$F$27)</f>
        <v>21.743813890249</v>
      </c>
      <c r="U40" s="36" t="n">
        <f aca="false">T40*(1-Assumptions!$F$27)</f>
        <v>20.4391850568341</v>
      </c>
      <c r="V40" s="36" t="n">
        <f aca="false">U40*(1-Assumptions!$F$27)</f>
        <v>19.2128339534241</v>
      </c>
      <c r="W40" s="36" t="n">
        <f aca="false">V40*(1-Assumptions!$F$27)</f>
        <v>18.0600639162186</v>
      </c>
      <c r="X40" s="36" t="n">
        <f aca="false">W40*(1-Assumptions!$F$27)</f>
        <v>16.9764600812455</v>
      </c>
      <c r="Y40" s="36" t="n">
        <f aca="false">X40*(1-Assumptions!$F$27)</f>
        <v>15.9578724763708</v>
      </c>
      <c r="Z40" s="36" t="n">
        <f aca="false">Y40*(1-Assumptions!$F$27)</f>
        <v>15.0004001277885</v>
      </c>
      <c r="AA40" s="36" t="n">
        <f aca="false">Z40*(1-Assumptions!$F$27)</f>
        <v>14.1003761201212</v>
      </c>
      <c r="AB40" s="36" t="n">
        <f aca="false">AA40*(1-Assumptions!$F$27)</f>
        <v>13.2543535529139</v>
      </c>
      <c r="AC40" s="36" t="n">
        <f aca="false">AB40*(1-Assumptions!$F$27)</f>
        <v>12.4590923397391</v>
      </c>
      <c r="AD40" s="36" t="n">
        <f aca="false">AC40*(1-Assumptions!$F$27)</f>
        <v>11.7115467993547</v>
      </c>
      <c r="AE40" s="36" t="n">
        <f aca="false">AD40*(1-Assumptions!$F$27)</f>
        <v>11.0088539913935</v>
      </c>
      <c r="AF40" s="36" t="n">
        <f aca="false">AE40*(1-Assumptions!$F$27)</f>
        <v>10.3483227519099</v>
      </c>
      <c r="AG40" s="36" t="n">
        <f aca="false">AF40*(1-Assumptions!$F$27)</f>
        <v>9.72742338679526</v>
      </c>
      <c r="AH40" s="36" t="n">
        <f aca="false">AG40*(1-Assumptions!$F$27)</f>
        <v>9.14377798358754</v>
      </c>
      <c r="AI40" s="36" t="n">
        <f aca="false">AH40*(1-Assumptions!$F$27)</f>
        <v>8.59515130457229</v>
      </c>
      <c r="AJ40" s="36" t="n">
        <f aca="false">AI40*(1-Assumptions!$F$27)</f>
        <v>8.07944222629795</v>
      </c>
      <c r="AK40" s="36" t="n">
        <f aca="false">AJ40*(1-Assumptions!$F$27)</f>
        <v>7.59467569272007</v>
      </c>
      <c r="AL40" s="36" t="n">
        <f aca="false">AK40*(1-Assumptions!$F$27)</f>
        <v>7.13899515115687</v>
      </c>
    </row>
    <row r="41" customFormat="false" ht="15" hidden="false" customHeight="false" outlineLevel="0" collapsed="false">
      <c r="A41" s="8" t="s">
        <v>195</v>
      </c>
      <c r="B41" s="14" t="s">
        <v>161</v>
      </c>
      <c r="C41" s="43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0</v>
      </c>
      <c r="J41" s="43" t="n">
        <v>0</v>
      </c>
      <c r="K41" s="43" t="n">
        <v>0</v>
      </c>
      <c r="L41" s="43" t="n">
        <v>0</v>
      </c>
      <c r="M41" s="43" t="n">
        <v>0</v>
      </c>
      <c r="N41" s="43" t="n">
        <v>0</v>
      </c>
      <c r="O41" s="43" t="n">
        <v>0</v>
      </c>
      <c r="P41" s="43" t="n">
        <v>0</v>
      </c>
      <c r="Q41" s="36" t="n">
        <f aca="false">Q15</f>
        <v>30.7167837274238</v>
      </c>
      <c r="R41" s="36" t="n">
        <f aca="false">Q41*(1-Assumptions!$F$27)</f>
        <v>28.8737767037784</v>
      </c>
      <c r="S41" s="36" t="n">
        <f aca="false">R41*(1-Assumptions!$F$27)</f>
        <v>27.1413501015517</v>
      </c>
      <c r="T41" s="36" t="n">
        <f aca="false">S41*(1-Assumptions!$F$27)</f>
        <v>25.5128690954586</v>
      </c>
      <c r="U41" s="36" t="n">
        <f aca="false">T41*(1-Assumptions!$F$27)</f>
        <v>23.9820969497311</v>
      </c>
      <c r="V41" s="36" t="n">
        <f aca="false">U41*(1-Assumptions!$F$27)</f>
        <v>22.5431711327472</v>
      </c>
      <c r="W41" s="36" t="n">
        <f aca="false">V41*(1-Assumptions!$F$27)</f>
        <v>21.1905808647824</v>
      </c>
      <c r="X41" s="36" t="n">
        <f aca="false">W41*(1-Assumptions!$F$27)</f>
        <v>19.9191460128954</v>
      </c>
      <c r="Y41" s="36" t="n">
        <f aca="false">X41*(1-Assumptions!$F$27)</f>
        <v>18.7239972521217</v>
      </c>
      <c r="Z41" s="36" t="n">
        <f aca="false">Y41*(1-Assumptions!$F$27)</f>
        <v>17.6005574169944</v>
      </c>
      <c r="AA41" s="36" t="n">
        <f aca="false">Z41*(1-Assumptions!$F$27)</f>
        <v>16.5445239719747</v>
      </c>
      <c r="AB41" s="36" t="n">
        <f aca="false">AA41*(1-Assumptions!$F$27)</f>
        <v>15.5518525336562</v>
      </c>
      <c r="AC41" s="36" t="n">
        <f aca="false">AB41*(1-Assumptions!$F$27)</f>
        <v>14.6187413816369</v>
      </c>
      <c r="AD41" s="36" t="n">
        <f aca="false">AC41*(1-Assumptions!$F$27)</f>
        <v>13.7416168987387</v>
      </c>
      <c r="AE41" s="36" t="n">
        <f aca="false">AD41*(1-Assumptions!$F$27)</f>
        <v>12.9171198848143</v>
      </c>
      <c r="AF41" s="36" t="n">
        <f aca="false">AE41*(1-Assumptions!$F$27)</f>
        <v>12.1420926917255</v>
      </c>
      <c r="AG41" s="36" t="n">
        <f aca="false">AF41*(1-Assumptions!$F$27)</f>
        <v>11.413567130222</v>
      </c>
      <c r="AH41" s="36" t="n">
        <f aca="false">AG41*(1-Assumptions!$F$27)</f>
        <v>10.7287531024086</v>
      </c>
      <c r="AI41" s="36" t="n">
        <f aca="false">AH41*(1-Assumptions!$F$27)</f>
        <v>10.0850279162641</v>
      </c>
      <c r="AJ41" s="36" t="n">
        <f aca="false">AI41*(1-Assumptions!$F$27)</f>
        <v>9.47992624128827</v>
      </c>
      <c r="AK41" s="36" t="n">
        <f aca="false">AJ41*(1-Assumptions!$F$27)</f>
        <v>8.91113066681097</v>
      </c>
      <c r="AL41" s="36" t="n">
        <f aca="false">AK41*(1-Assumptions!$F$27)</f>
        <v>8.37646282680231</v>
      </c>
    </row>
    <row r="42" customFormat="false" ht="15" hidden="false" customHeight="false" outlineLevel="0" collapsed="false">
      <c r="A42" s="8" t="s">
        <v>196</v>
      </c>
      <c r="B42" s="14" t="s">
        <v>161</v>
      </c>
      <c r="C42" s="43" t="n">
        <v>0</v>
      </c>
      <c r="D42" s="43" t="n">
        <v>0</v>
      </c>
      <c r="E42" s="43" t="n">
        <v>0</v>
      </c>
      <c r="F42" s="43" t="n">
        <v>0</v>
      </c>
      <c r="G42" s="43" t="n">
        <v>0</v>
      </c>
      <c r="H42" s="43" t="n">
        <v>0</v>
      </c>
      <c r="I42" s="43" t="n">
        <v>0</v>
      </c>
      <c r="J42" s="43" t="n">
        <v>0</v>
      </c>
      <c r="K42" s="43" t="n">
        <v>0</v>
      </c>
      <c r="L42" s="43" t="n">
        <v>0</v>
      </c>
      <c r="M42" s="43" t="n">
        <v>0</v>
      </c>
      <c r="N42" s="43" t="n">
        <v>0</v>
      </c>
      <c r="O42" s="43" t="n">
        <v>0</v>
      </c>
      <c r="P42" s="43" t="n">
        <v>0</v>
      </c>
      <c r="Q42" s="43" t="n">
        <v>0</v>
      </c>
      <c r="R42" s="36" t="n">
        <f aca="false">R15</f>
        <v>33.8876877890007</v>
      </c>
      <c r="S42" s="36" t="n">
        <f aca="false">R42*(1-Assumptions!$F$27)</f>
        <v>31.8544265216607</v>
      </c>
      <c r="T42" s="36" t="n">
        <f aca="false">S42*(1-Assumptions!$F$27)</f>
        <v>29.943160930361</v>
      </c>
      <c r="U42" s="36" t="n">
        <f aca="false">T42*(1-Assumptions!$F$27)</f>
        <v>28.1465712745394</v>
      </c>
      <c r="V42" s="36" t="n">
        <f aca="false">U42*(1-Assumptions!$F$27)</f>
        <v>26.457776998067</v>
      </c>
      <c r="W42" s="36" t="n">
        <f aca="false">V42*(1-Assumptions!$F$27)</f>
        <v>24.870310378183</v>
      </c>
      <c r="X42" s="36" t="n">
        <f aca="false">W42*(1-Assumptions!$F$27)</f>
        <v>23.378091755492</v>
      </c>
      <c r="Y42" s="36" t="n">
        <f aca="false">X42*(1-Assumptions!$F$27)</f>
        <v>21.9754062501625</v>
      </c>
      <c r="Z42" s="36" t="n">
        <f aca="false">Y42*(1-Assumptions!$F$27)</f>
        <v>20.6568818751527</v>
      </c>
      <c r="AA42" s="36" t="n">
        <f aca="false">Z42*(1-Assumptions!$F$27)</f>
        <v>19.4174689626436</v>
      </c>
      <c r="AB42" s="36" t="n">
        <f aca="false">AA42*(1-Assumptions!$F$27)</f>
        <v>18.2524208248849</v>
      </c>
      <c r="AC42" s="36" t="n">
        <f aca="false">AB42*(1-Assumptions!$F$27)</f>
        <v>17.1572755753918</v>
      </c>
      <c r="AD42" s="36" t="n">
        <f aca="false">AC42*(1-Assumptions!$F$27)</f>
        <v>16.1278390408683</v>
      </c>
      <c r="AE42" s="36" t="n">
        <f aca="false">AD42*(1-Assumptions!$F$27)</f>
        <v>15.1601686984162</v>
      </c>
      <c r="AF42" s="36" t="n">
        <f aca="false">AE42*(1-Assumptions!$F$27)</f>
        <v>14.2505585765113</v>
      </c>
      <c r="AG42" s="36" t="n">
        <f aca="false">AF42*(1-Assumptions!$F$27)</f>
        <v>13.3955250619206</v>
      </c>
      <c r="AH42" s="36" t="n">
        <f aca="false">AG42*(1-Assumptions!$F$27)</f>
        <v>12.5917935582053</v>
      </c>
      <c r="AI42" s="36" t="n">
        <f aca="false">AH42*(1-Assumptions!$F$27)</f>
        <v>11.836285944713</v>
      </c>
      <c r="AJ42" s="36" t="n">
        <f aca="false">AI42*(1-Assumptions!$F$27)</f>
        <v>11.1261087880302</v>
      </c>
      <c r="AK42" s="36" t="n">
        <f aca="false">AJ42*(1-Assumptions!$F$27)</f>
        <v>10.4585422607484</v>
      </c>
      <c r="AL42" s="36" t="n">
        <f aca="false">AK42*(1-Assumptions!$F$27)</f>
        <v>9.83102972510352</v>
      </c>
    </row>
    <row r="43" customFormat="false" ht="15" hidden="false" customHeight="false" outlineLevel="0" collapsed="false">
      <c r="A43" s="8" t="s">
        <v>197</v>
      </c>
      <c r="B43" s="14" t="s">
        <v>161</v>
      </c>
      <c r="C43" s="43" t="n">
        <v>0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3" t="n">
        <v>0</v>
      </c>
      <c r="M43" s="43" t="n">
        <v>0</v>
      </c>
      <c r="N43" s="43" t="n">
        <v>0</v>
      </c>
      <c r="O43" s="43" t="n">
        <v>0</v>
      </c>
      <c r="P43" s="43" t="n">
        <v>0</v>
      </c>
      <c r="Q43" s="43" t="n">
        <v>0</v>
      </c>
      <c r="R43" s="43" t="n">
        <v>0</v>
      </c>
      <c r="S43" s="36" t="n">
        <f aca="false">S15</f>
        <v>37.3960337625454</v>
      </c>
      <c r="T43" s="36" t="n">
        <f aca="false">S43*(1-Assumptions!$F$27)</f>
        <v>35.1522717367927</v>
      </c>
      <c r="U43" s="36" t="n">
        <f aca="false">T43*(1-Assumptions!$F$27)</f>
        <v>33.0431354325851</v>
      </c>
      <c r="V43" s="36" t="n">
        <f aca="false">U43*(1-Assumptions!$F$27)</f>
        <v>31.06054730663</v>
      </c>
      <c r="W43" s="36" t="n">
        <f aca="false">V43*(1-Assumptions!$F$27)</f>
        <v>29.1969144682322</v>
      </c>
      <c r="X43" s="36" t="n">
        <f aca="false">W43*(1-Assumptions!$F$27)</f>
        <v>27.4450996001383</v>
      </c>
      <c r="Y43" s="36" t="n">
        <f aca="false">X43*(1-Assumptions!$F$27)</f>
        <v>25.79839362413</v>
      </c>
      <c r="Z43" s="36" t="n">
        <f aca="false">Y43*(1-Assumptions!$F$27)</f>
        <v>24.2504900066822</v>
      </c>
      <c r="AA43" s="36" t="n">
        <f aca="false">Z43*(1-Assumptions!$F$27)</f>
        <v>22.7954606062812</v>
      </c>
      <c r="AB43" s="36" t="n">
        <f aca="false">AA43*(1-Assumptions!$F$27)</f>
        <v>21.4277329699044</v>
      </c>
      <c r="AC43" s="36" t="n">
        <f aca="false">AB43*(1-Assumptions!$F$27)</f>
        <v>20.1420689917101</v>
      </c>
      <c r="AD43" s="36" t="n">
        <f aca="false">AC43*(1-Assumptions!$F$27)</f>
        <v>18.9335448522075</v>
      </c>
      <c r="AE43" s="36" t="n">
        <f aca="false">AD43*(1-Assumptions!$F$27)</f>
        <v>17.797532161075</v>
      </c>
      <c r="AF43" s="36" t="n">
        <f aca="false">AE43*(1-Assumptions!$F$27)</f>
        <v>16.7296802314105</v>
      </c>
      <c r="AG43" s="36" t="n">
        <f aca="false">AF43*(1-Assumptions!$F$27)</f>
        <v>15.7258994175259</v>
      </c>
      <c r="AH43" s="36" t="n">
        <f aca="false">AG43*(1-Assumptions!$F$27)</f>
        <v>14.7823454524744</v>
      </c>
      <c r="AI43" s="36" t="n">
        <f aca="false">AH43*(1-Assumptions!$F$27)</f>
        <v>13.8954047253259</v>
      </c>
      <c r="AJ43" s="36" t="n">
        <f aca="false">AI43*(1-Assumptions!$F$27)</f>
        <v>13.0616804418063</v>
      </c>
      <c r="AK43" s="36" t="n">
        <f aca="false">AJ43*(1-Assumptions!$F$27)</f>
        <v>12.277979615298</v>
      </c>
      <c r="AL43" s="36" t="n">
        <f aca="false">AK43*(1-Assumptions!$F$27)</f>
        <v>11.5413008383801</v>
      </c>
    </row>
    <row r="44" customFormat="false" ht="15" hidden="false" customHeight="false" outlineLevel="0" collapsed="false">
      <c r="A44" s="8" t="s">
        <v>198</v>
      </c>
      <c r="B44" s="14" t="s">
        <v>161</v>
      </c>
      <c r="C44" s="43" t="n">
        <v>0</v>
      </c>
      <c r="D44" s="43" t="n">
        <v>0</v>
      </c>
      <c r="E44" s="43" t="n">
        <v>0</v>
      </c>
      <c r="F44" s="43" t="n">
        <v>0</v>
      </c>
      <c r="G44" s="43" t="n">
        <v>0</v>
      </c>
      <c r="H44" s="43" t="n">
        <v>0</v>
      </c>
      <c r="I44" s="43" t="n">
        <v>0</v>
      </c>
      <c r="J44" s="43" t="n">
        <v>0</v>
      </c>
      <c r="K44" s="43" t="n">
        <v>0</v>
      </c>
      <c r="L44" s="43" t="n">
        <v>0</v>
      </c>
      <c r="M44" s="43" t="n">
        <v>0</v>
      </c>
      <c r="N44" s="43" t="n">
        <v>0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0</v>
      </c>
      <c r="T44" s="36" t="n">
        <f aca="false">T15</f>
        <v>41.278952108119</v>
      </c>
      <c r="U44" s="36" t="n">
        <f aca="false">T44*(1-Assumptions!$F$27)</f>
        <v>38.8022149816318</v>
      </c>
      <c r="V44" s="36" t="n">
        <f aca="false">U44*(1-Assumptions!$F$27)</f>
        <v>36.4740820827339</v>
      </c>
      <c r="W44" s="36" t="n">
        <f aca="false">V44*(1-Assumptions!$F$27)</f>
        <v>34.2856371577699</v>
      </c>
      <c r="X44" s="36" t="n">
        <f aca="false">W44*(1-Assumptions!$F$27)</f>
        <v>32.2284989283037</v>
      </c>
      <c r="Y44" s="36" t="n">
        <f aca="false">X44*(1-Assumptions!$F$27)</f>
        <v>30.2947889926055</v>
      </c>
      <c r="Z44" s="36" t="n">
        <f aca="false">Y44*(1-Assumptions!$F$27)</f>
        <v>28.4771016530491</v>
      </c>
      <c r="AA44" s="36" t="n">
        <f aca="false">Z44*(1-Assumptions!$F$27)</f>
        <v>26.7684755538662</v>
      </c>
      <c r="AB44" s="36" t="n">
        <f aca="false">AA44*(1-Assumptions!$F$27)</f>
        <v>25.1623670206342</v>
      </c>
      <c r="AC44" s="36" t="n">
        <f aca="false">AB44*(1-Assumptions!$F$27)</f>
        <v>23.6526249993962</v>
      </c>
      <c r="AD44" s="36" t="n">
        <f aca="false">AC44*(1-Assumptions!$F$27)</f>
        <v>22.2334674994324</v>
      </c>
      <c r="AE44" s="36" t="n">
        <f aca="false">AD44*(1-Assumptions!$F$27)</f>
        <v>20.8994594494664</v>
      </c>
      <c r="AF44" s="36" t="n">
        <f aca="false">AE44*(1-Assumptions!$F$27)</f>
        <v>19.6454918824985</v>
      </c>
      <c r="AG44" s="36" t="n">
        <f aca="false">AF44*(1-Assumptions!$F$27)</f>
        <v>18.4667623695485</v>
      </c>
      <c r="AH44" s="36" t="n">
        <f aca="false">AG44*(1-Assumptions!$F$27)</f>
        <v>17.3587566273756</v>
      </c>
      <c r="AI44" s="36" t="n">
        <f aca="false">AH44*(1-Assumptions!$F$27)</f>
        <v>16.3172312297331</v>
      </c>
      <c r="AJ44" s="36" t="n">
        <f aca="false">AI44*(1-Assumptions!$F$27)</f>
        <v>15.3381973559491</v>
      </c>
      <c r="AK44" s="36" t="n">
        <f aca="false">AJ44*(1-Assumptions!$F$27)</f>
        <v>14.4179055145922</v>
      </c>
      <c r="AL44" s="36" t="n">
        <f aca="false">AK44*(1-Assumptions!$F$27)</f>
        <v>13.5528311837166</v>
      </c>
    </row>
    <row r="45" customFormat="false" ht="15" hidden="false" customHeight="false" outlineLevel="0" collapsed="false">
      <c r="A45" s="8" t="s">
        <v>199</v>
      </c>
      <c r="B45" s="14" t="s">
        <v>161</v>
      </c>
      <c r="C45" s="43" t="n">
        <v>0</v>
      </c>
      <c r="D45" s="43" t="n">
        <v>0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3" t="n">
        <v>0</v>
      </c>
      <c r="M45" s="43" t="n">
        <v>0</v>
      </c>
      <c r="N45" s="43" t="n">
        <v>0</v>
      </c>
      <c r="O45" s="43" t="n">
        <v>0</v>
      </c>
      <c r="P45" s="43" t="n">
        <v>0</v>
      </c>
      <c r="Q45" s="43" t="n">
        <v>0</v>
      </c>
      <c r="R45" s="43" t="n">
        <v>0</v>
      </c>
      <c r="S45" s="43" t="n">
        <v>0</v>
      </c>
      <c r="T45" s="43" t="n">
        <v>0</v>
      </c>
      <c r="U45" s="36" t="n">
        <f aca="false">U15</f>
        <v>45.5777551780431</v>
      </c>
      <c r="V45" s="36" t="n">
        <f aca="false">U45*(1-Assumptions!$F$27)</f>
        <v>42.8430898673605</v>
      </c>
      <c r="W45" s="36" t="n">
        <f aca="false">V45*(1-Assumptions!$F$27)</f>
        <v>40.2725044753189</v>
      </c>
      <c r="X45" s="36" t="n">
        <f aca="false">W45*(1-Assumptions!$F$27)</f>
        <v>37.8561542067998</v>
      </c>
      <c r="Y45" s="36" t="n">
        <f aca="false">X45*(1-Assumptions!$F$27)</f>
        <v>35.5847849543918</v>
      </c>
      <c r="Z45" s="36" t="n">
        <f aca="false">Y45*(1-Assumptions!$F$27)</f>
        <v>33.4496978571283</v>
      </c>
      <c r="AA45" s="36" t="n">
        <f aca="false">Z45*(1-Assumptions!$F$27)</f>
        <v>31.4427159857006</v>
      </c>
      <c r="AB45" s="36" t="n">
        <f aca="false">AA45*(1-Assumptions!$F$27)</f>
        <v>29.5561530265585</v>
      </c>
      <c r="AC45" s="36" t="n">
        <f aca="false">AB45*(1-Assumptions!$F$27)</f>
        <v>27.782783844965</v>
      </c>
      <c r="AD45" s="36" t="n">
        <f aca="false">AC45*(1-Assumptions!$F$27)</f>
        <v>26.1158168142671</v>
      </c>
      <c r="AE45" s="36" t="n">
        <f aca="false">AD45*(1-Assumptions!$F$27)</f>
        <v>24.5488678054111</v>
      </c>
      <c r="AF45" s="36" t="n">
        <f aca="false">AE45*(1-Assumptions!$F$27)</f>
        <v>23.0759357370864</v>
      </c>
      <c r="AG45" s="36" t="n">
        <f aca="false">AF45*(1-Assumptions!$F$27)</f>
        <v>21.6913795928612</v>
      </c>
      <c r="AH45" s="36" t="n">
        <f aca="false">AG45*(1-Assumptions!$F$27)</f>
        <v>20.3898968172896</v>
      </c>
      <c r="AI45" s="36" t="n">
        <f aca="false">AH45*(1-Assumptions!$F$27)</f>
        <v>19.1665030082522</v>
      </c>
      <c r="AJ45" s="36" t="n">
        <f aca="false">AI45*(1-Assumptions!$F$27)</f>
        <v>18.016512827757</v>
      </c>
      <c r="AK45" s="36" t="n">
        <f aca="false">AJ45*(1-Assumptions!$F$27)</f>
        <v>16.9355220580916</v>
      </c>
      <c r="AL45" s="36" t="n">
        <f aca="false">AK45*(1-Assumptions!$F$27)</f>
        <v>15.9193907346061</v>
      </c>
    </row>
    <row r="46" customFormat="false" ht="15" hidden="false" customHeight="false" outlineLevel="0" collapsed="false">
      <c r="A46" s="8" t="s">
        <v>200</v>
      </c>
      <c r="B46" s="14" t="s">
        <v>161</v>
      </c>
      <c r="C46" s="43" t="n">
        <v>0</v>
      </c>
      <c r="D46" s="43" t="n">
        <v>0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3" t="n">
        <v>0</v>
      </c>
      <c r="M46" s="43" t="n">
        <v>0</v>
      </c>
      <c r="N46" s="43" t="n">
        <v>0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3" t="n">
        <v>0</v>
      </c>
      <c r="V46" s="36" t="n">
        <f aca="false">V15</f>
        <v>50.3384174158761</v>
      </c>
      <c r="W46" s="36" t="n">
        <f aca="false">V46*(1-Assumptions!$F$27)</f>
        <v>47.3181123709236</v>
      </c>
      <c r="X46" s="36" t="n">
        <f aca="false">W46*(1-Assumptions!$F$27)</f>
        <v>44.4790256286681</v>
      </c>
      <c r="Y46" s="36" t="n">
        <f aca="false">X46*(1-Assumptions!$F$27)</f>
        <v>41.8102840909481</v>
      </c>
      <c r="Z46" s="36" t="n">
        <f aca="false">Y46*(1-Assumptions!$F$27)</f>
        <v>39.3016670454912</v>
      </c>
      <c r="AA46" s="36" t="n">
        <f aca="false">Z46*(1-Assumptions!$F$27)</f>
        <v>36.9435670227617</v>
      </c>
      <c r="AB46" s="36" t="n">
        <f aca="false">AA46*(1-Assumptions!$F$27)</f>
        <v>34.726953001396</v>
      </c>
      <c r="AC46" s="36" t="n">
        <f aca="false">AB46*(1-Assumptions!$F$27)</f>
        <v>32.6433358213122</v>
      </c>
      <c r="AD46" s="36" t="n">
        <f aca="false">AC46*(1-Assumptions!$F$27)</f>
        <v>30.6847356720335</v>
      </c>
      <c r="AE46" s="36" t="n">
        <f aca="false">AD46*(1-Assumptions!$F$27)</f>
        <v>28.8436515317115</v>
      </c>
      <c r="AF46" s="36" t="n">
        <f aca="false">AE46*(1-Assumptions!$F$27)</f>
        <v>27.1130324398088</v>
      </c>
      <c r="AG46" s="36" t="n">
        <f aca="false">AF46*(1-Assumptions!$F$27)</f>
        <v>25.4862504934203</v>
      </c>
      <c r="AH46" s="36" t="n">
        <f aca="false">AG46*(1-Assumptions!$F$27)</f>
        <v>23.9570754638151</v>
      </c>
      <c r="AI46" s="36" t="n">
        <f aca="false">AH46*(1-Assumptions!$F$27)</f>
        <v>22.5196509359861</v>
      </c>
      <c r="AJ46" s="36" t="n">
        <f aca="false">AI46*(1-Assumptions!$F$27)</f>
        <v>21.168471879827</v>
      </c>
      <c r="AK46" s="36" t="n">
        <f aca="false">AJ46*(1-Assumptions!$F$27)</f>
        <v>19.8983635670374</v>
      </c>
      <c r="AL46" s="36" t="n">
        <f aca="false">AK46*(1-Assumptions!$F$27)</f>
        <v>18.7044617530151</v>
      </c>
    </row>
    <row r="47" customFormat="false" ht="15" hidden="false" customHeight="false" outlineLevel="0" collapsed="false">
      <c r="A47" s="8" t="s">
        <v>201</v>
      </c>
      <c r="B47" s="14" t="s">
        <v>161</v>
      </c>
      <c r="C47" s="43" t="n">
        <v>0</v>
      </c>
      <c r="D47" s="43" t="n">
        <v>0</v>
      </c>
      <c r="E47" s="43" t="n">
        <v>0</v>
      </c>
      <c r="F47" s="43" t="n">
        <v>0</v>
      </c>
      <c r="G47" s="43" t="n">
        <v>0</v>
      </c>
      <c r="H47" s="43" t="n">
        <v>0</v>
      </c>
      <c r="I47" s="43" t="n">
        <v>0</v>
      </c>
      <c r="J47" s="43" t="n">
        <v>0</v>
      </c>
      <c r="K47" s="43" t="n">
        <v>0</v>
      </c>
      <c r="L47" s="43" t="n">
        <v>0</v>
      </c>
      <c r="M47" s="43" t="n">
        <v>0</v>
      </c>
      <c r="N47" s="43" t="n">
        <v>0</v>
      </c>
      <c r="O47" s="43" t="n">
        <v>0</v>
      </c>
      <c r="P47" s="43" t="n">
        <v>0</v>
      </c>
      <c r="Q47" s="43" t="n">
        <v>0</v>
      </c>
      <c r="R47" s="43" t="n">
        <v>0</v>
      </c>
      <c r="S47" s="43" t="n">
        <v>0</v>
      </c>
      <c r="T47" s="43" t="n">
        <v>0</v>
      </c>
      <c r="U47" s="43" t="n">
        <v>0</v>
      </c>
      <c r="V47" s="43" t="n">
        <v>0</v>
      </c>
      <c r="W47" s="36" t="n">
        <f aca="false">W15</f>
        <v>55.6121114333593</v>
      </c>
      <c r="X47" s="36" t="n">
        <f aca="false">W47*(1-Assumptions!$F$27)</f>
        <v>52.2753847473577</v>
      </c>
      <c r="Y47" s="36" t="n">
        <f aca="false">X47*(1-Assumptions!$F$27)</f>
        <v>49.1388616625163</v>
      </c>
      <c r="Z47" s="36" t="n">
        <f aca="false">Y47*(1-Assumptions!$F$27)</f>
        <v>46.1905299627653</v>
      </c>
      <c r="AA47" s="36" t="n">
        <f aca="false">Z47*(1-Assumptions!$F$27)</f>
        <v>43.4190981649994</v>
      </c>
      <c r="AB47" s="36" t="n">
        <f aca="false">AA47*(1-Assumptions!$F$27)</f>
        <v>40.8139522750994</v>
      </c>
      <c r="AC47" s="36" t="n">
        <f aca="false">AB47*(1-Assumptions!$F$27)</f>
        <v>38.3651151385934</v>
      </c>
      <c r="AD47" s="36" t="n">
        <f aca="false">AC47*(1-Assumptions!$F$27)</f>
        <v>36.0632082302778</v>
      </c>
      <c r="AE47" s="36" t="n">
        <f aca="false">AD47*(1-Assumptions!$F$27)</f>
        <v>33.8994157364611</v>
      </c>
      <c r="AF47" s="36" t="n">
        <f aca="false">AE47*(1-Assumptions!$F$27)</f>
        <v>31.8654507922735</v>
      </c>
      <c r="AG47" s="36" t="n">
        <f aca="false">AF47*(1-Assumptions!$F$27)</f>
        <v>29.9535237447371</v>
      </c>
      <c r="AH47" s="36" t="n">
        <f aca="false">AG47*(1-Assumptions!$F$27)</f>
        <v>28.1563123200528</v>
      </c>
      <c r="AI47" s="36" t="n">
        <f aca="false">AH47*(1-Assumptions!$F$27)</f>
        <v>26.4669335808497</v>
      </c>
      <c r="AJ47" s="36" t="n">
        <f aca="false">AI47*(1-Assumptions!$F$27)</f>
        <v>24.8789175659987</v>
      </c>
      <c r="AK47" s="36" t="n">
        <f aca="false">AJ47*(1-Assumptions!$F$27)</f>
        <v>23.3861825120388</v>
      </c>
      <c r="AL47" s="36" t="n">
        <f aca="false">AK47*(1-Assumptions!$F$27)</f>
        <v>21.9830115613164</v>
      </c>
    </row>
    <row r="48" customFormat="false" ht="15" hidden="false" customHeight="false" outlineLevel="0" collapsed="false">
      <c r="A48" s="8" t="s">
        <v>202</v>
      </c>
      <c r="B48" s="14" t="s">
        <v>161</v>
      </c>
      <c r="C48" s="43" t="n">
        <v>0</v>
      </c>
      <c r="D48" s="43" t="n">
        <v>0</v>
      </c>
      <c r="E48" s="43" t="n">
        <v>0</v>
      </c>
      <c r="F48" s="43" t="n">
        <v>0</v>
      </c>
      <c r="G48" s="43" t="n">
        <v>0</v>
      </c>
      <c r="H48" s="43" t="n">
        <v>0</v>
      </c>
      <c r="I48" s="43" t="n">
        <v>0</v>
      </c>
      <c r="J48" s="43" t="n">
        <v>0</v>
      </c>
      <c r="K48" s="43" t="n">
        <v>0</v>
      </c>
      <c r="L48" s="43" t="n">
        <v>0</v>
      </c>
      <c r="M48" s="43" t="n">
        <v>0</v>
      </c>
      <c r="N48" s="43" t="n">
        <v>0</v>
      </c>
      <c r="O48" s="43" t="n">
        <v>0</v>
      </c>
      <c r="P48" s="43" t="n">
        <v>0</v>
      </c>
      <c r="Q48" s="43" t="n">
        <v>0</v>
      </c>
      <c r="R48" s="43" t="n">
        <v>0</v>
      </c>
      <c r="S48" s="43" t="n">
        <v>0</v>
      </c>
      <c r="T48" s="43" t="n">
        <v>0</v>
      </c>
      <c r="U48" s="43" t="n">
        <v>0</v>
      </c>
      <c r="V48" s="43" t="n">
        <v>0</v>
      </c>
      <c r="W48" s="43" t="n">
        <v>0</v>
      </c>
      <c r="X48" s="36" t="n">
        <f aca="false">X15</f>
        <v>61.4558065319157</v>
      </c>
      <c r="Y48" s="36" t="n">
        <f aca="false">X48*(1-Assumptions!$F$27)</f>
        <v>57.7684581400007</v>
      </c>
      <c r="Z48" s="36" t="n">
        <f aca="false">Y48*(1-Assumptions!$F$27)</f>
        <v>54.3023506516007</v>
      </c>
      <c r="AA48" s="36" t="n">
        <f aca="false">Z48*(1-Assumptions!$F$27)</f>
        <v>51.0442096125046</v>
      </c>
      <c r="AB48" s="36" t="n">
        <f aca="false">AA48*(1-Assumptions!$F$27)</f>
        <v>47.9815570357544</v>
      </c>
      <c r="AC48" s="36" t="n">
        <f aca="false">AB48*(1-Assumptions!$F$27)</f>
        <v>45.1026636136091</v>
      </c>
      <c r="AD48" s="36" t="n">
        <f aca="false">AC48*(1-Assumptions!$F$27)</f>
        <v>42.3965037967926</v>
      </c>
      <c r="AE48" s="36" t="n">
        <f aca="false">AD48*(1-Assumptions!$F$27)</f>
        <v>39.852713568985</v>
      </c>
      <c r="AF48" s="36" t="n">
        <f aca="false">AE48*(1-Assumptions!$F$27)</f>
        <v>37.4615507548459</v>
      </c>
      <c r="AG48" s="36" t="n">
        <f aca="false">AF48*(1-Assumptions!$F$27)</f>
        <v>35.2138577095551</v>
      </c>
      <c r="AH48" s="36" t="n">
        <f aca="false">AG48*(1-Assumptions!$F$27)</f>
        <v>33.1010262469818</v>
      </c>
      <c r="AI48" s="36" t="n">
        <f aca="false">AH48*(1-Assumptions!$F$27)</f>
        <v>31.1149646721629</v>
      </c>
      <c r="AJ48" s="36" t="n">
        <f aca="false">AI48*(1-Assumptions!$F$27)</f>
        <v>29.2480667918331</v>
      </c>
      <c r="AK48" s="36" t="n">
        <f aca="false">AJ48*(1-Assumptions!$F$27)</f>
        <v>27.4931827843232</v>
      </c>
      <c r="AL48" s="36" t="n">
        <f aca="false">AK48*(1-Assumptions!$F$27)</f>
        <v>25.8435918172638</v>
      </c>
    </row>
    <row r="49" customFormat="false" ht="15" hidden="false" customHeight="false" outlineLevel="0" collapsed="false">
      <c r="A49" s="8" t="s">
        <v>203</v>
      </c>
      <c r="B49" s="14" t="s">
        <v>161</v>
      </c>
      <c r="C49" s="43" t="n">
        <v>0</v>
      </c>
      <c r="D49" s="43" t="n">
        <v>0</v>
      </c>
      <c r="E49" s="43" t="n">
        <v>0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3" t="n">
        <v>0</v>
      </c>
      <c r="M49" s="43" t="n">
        <v>0</v>
      </c>
      <c r="N49" s="43" t="n">
        <v>0</v>
      </c>
      <c r="O49" s="43" t="n">
        <v>0</v>
      </c>
      <c r="P49" s="43" t="n">
        <v>0</v>
      </c>
      <c r="Q49" s="43" t="n">
        <v>0</v>
      </c>
      <c r="R49" s="43" t="n">
        <v>0</v>
      </c>
      <c r="S49" s="43" t="n">
        <v>0</v>
      </c>
      <c r="T49" s="43" t="n">
        <v>0</v>
      </c>
      <c r="U49" s="43" t="n">
        <v>0</v>
      </c>
      <c r="V49" s="43" t="n">
        <v>0</v>
      </c>
      <c r="W49" s="43" t="n">
        <v>0</v>
      </c>
      <c r="X49" s="43" t="n">
        <v>0</v>
      </c>
      <c r="Y49" s="36" t="n">
        <f aca="false">Y15</f>
        <v>67.9329370121206</v>
      </c>
      <c r="Z49" s="36" t="n">
        <f aca="false">Y49*(1-Assumptions!$F$27)</f>
        <v>63.8569607913933</v>
      </c>
      <c r="AA49" s="36" t="n">
        <f aca="false">Z49*(1-Assumptions!$F$27)</f>
        <v>60.0255431439097</v>
      </c>
      <c r="AB49" s="36" t="n">
        <f aca="false">AA49*(1-Assumptions!$F$27)</f>
        <v>56.4240105552751</v>
      </c>
      <c r="AC49" s="36" t="n">
        <f aca="false">AB49*(1-Assumptions!$F$27)</f>
        <v>53.0385699219586</v>
      </c>
      <c r="AD49" s="36" t="n">
        <f aca="false">AC49*(1-Assumptions!$F$27)</f>
        <v>49.8562557266411</v>
      </c>
      <c r="AE49" s="36" t="n">
        <f aca="false">AD49*(1-Assumptions!$F$27)</f>
        <v>46.8648803830426</v>
      </c>
      <c r="AF49" s="36" t="n">
        <f aca="false">AE49*(1-Assumptions!$F$27)</f>
        <v>44.0529875600601</v>
      </c>
      <c r="AG49" s="36" t="n">
        <f aca="false">AF49*(1-Assumptions!$F$27)</f>
        <v>41.4098083064565</v>
      </c>
      <c r="AH49" s="36" t="n">
        <f aca="false">AG49*(1-Assumptions!$F$27)</f>
        <v>38.9252198080691</v>
      </c>
      <c r="AI49" s="36" t="n">
        <f aca="false">AH49*(1-Assumptions!$F$27)</f>
        <v>36.5897066195849</v>
      </c>
      <c r="AJ49" s="36" t="n">
        <f aca="false">AI49*(1-Assumptions!$F$27)</f>
        <v>34.3943242224098</v>
      </c>
      <c r="AK49" s="36" t="n">
        <f aca="false">AJ49*(1-Assumptions!$F$27)</f>
        <v>32.3306647690652</v>
      </c>
      <c r="AL49" s="36" t="n">
        <f aca="false">AK49*(1-Assumptions!$F$27)</f>
        <v>30.3908248829213</v>
      </c>
    </row>
    <row r="50" customFormat="false" ht="15" hidden="false" customHeight="false" outlineLevel="0" collapsed="false">
      <c r="A50" s="8" t="s">
        <v>204</v>
      </c>
      <c r="B50" s="14" t="s">
        <v>161</v>
      </c>
      <c r="C50" s="43" t="n">
        <v>0</v>
      </c>
      <c r="D50" s="43" t="n">
        <v>0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3" t="n">
        <v>0</v>
      </c>
      <c r="M50" s="43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0</v>
      </c>
      <c r="U50" s="43" t="n">
        <v>0</v>
      </c>
      <c r="V50" s="43" t="n">
        <v>0</v>
      </c>
      <c r="W50" s="43" t="n">
        <v>0</v>
      </c>
      <c r="X50" s="43" t="n">
        <v>0</v>
      </c>
      <c r="Y50" s="43" t="n">
        <v>0</v>
      </c>
      <c r="Z50" s="36" t="n">
        <f aca="false">Z15</f>
        <v>75.1141484837289</v>
      </c>
      <c r="AA50" s="36" t="n">
        <f aca="false">Z50*(1-Assumptions!$F$27)</f>
        <v>70.6072995747051</v>
      </c>
      <c r="AB50" s="36" t="n">
        <f aca="false">AA50*(1-Assumptions!$F$27)</f>
        <v>66.3708616002228</v>
      </c>
      <c r="AC50" s="36" t="n">
        <f aca="false">AB50*(1-Assumptions!$F$27)</f>
        <v>62.3886099042095</v>
      </c>
      <c r="AD50" s="36" t="n">
        <f aca="false">AC50*(1-Assumptions!$F$27)</f>
        <v>58.6452933099569</v>
      </c>
      <c r="AE50" s="36" t="n">
        <f aca="false">AD50*(1-Assumptions!$F$27)</f>
        <v>55.1265757113595</v>
      </c>
      <c r="AF50" s="36" t="n">
        <f aca="false">AE50*(1-Assumptions!$F$27)</f>
        <v>51.8189811686779</v>
      </c>
      <c r="AG50" s="36" t="n">
        <f aca="false">AF50*(1-Assumptions!$F$27)</f>
        <v>48.7098422985572</v>
      </c>
      <c r="AH50" s="36" t="n">
        <f aca="false">AG50*(1-Assumptions!$F$27)</f>
        <v>45.7872517606438</v>
      </c>
      <c r="AI50" s="36" t="n">
        <f aca="false">AH50*(1-Assumptions!$F$27)</f>
        <v>43.0400166550052</v>
      </c>
      <c r="AJ50" s="36" t="n">
        <f aca="false">AI50*(1-Assumptions!$F$27)</f>
        <v>40.4576156557048</v>
      </c>
      <c r="AK50" s="36" t="n">
        <f aca="false">AJ50*(1-Assumptions!$F$27)</f>
        <v>38.0301587163626</v>
      </c>
      <c r="AL50" s="36" t="n">
        <f aca="false">AK50*(1-Assumptions!$F$27)</f>
        <v>35.7483491933808</v>
      </c>
    </row>
    <row r="51" customFormat="false" ht="15" hidden="false" customHeight="false" outlineLevel="0" collapsed="false">
      <c r="A51" s="8" t="s">
        <v>205</v>
      </c>
      <c r="B51" s="14" t="s">
        <v>161</v>
      </c>
      <c r="C51" s="43" t="n">
        <v>0</v>
      </c>
      <c r="D51" s="43" t="n">
        <v>0</v>
      </c>
      <c r="E51" s="43" t="n">
        <v>0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3" t="n">
        <v>0</v>
      </c>
      <c r="L51" s="43" t="n">
        <v>0</v>
      </c>
      <c r="M51" s="43" t="n">
        <v>0</v>
      </c>
      <c r="N51" s="43" t="n">
        <v>0</v>
      </c>
      <c r="O51" s="43" t="n">
        <v>0</v>
      </c>
      <c r="P51" s="43" t="n">
        <v>0</v>
      </c>
      <c r="Q51" s="43" t="n">
        <v>0</v>
      </c>
      <c r="R51" s="43" t="n">
        <v>0</v>
      </c>
      <c r="S51" s="43" t="n">
        <v>0</v>
      </c>
      <c r="T51" s="43" t="n">
        <v>0</v>
      </c>
      <c r="U51" s="43" t="n">
        <v>0</v>
      </c>
      <c r="V51" s="43" t="n">
        <v>0</v>
      </c>
      <c r="W51" s="43" t="n">
        <v>0</v>
      </c>
      <c r="X51" s="43" t="n">
        <v>0</v>
      </c>
      <c r="Y51" s="43" t="n">
        <v>0</v>
      </c>
      <c r="Z51" s="43" t="n">
        <v>0</v>
      </c>
      <c r="AA51" s="36" t="n">
        <f aca="false">AA15</f>
        <v>83.0781313613536</v>
      </c>
      <c r="AB51" s="36" t="n">
        <f aca="false">AA51*(1-Assumptions!$F$27)</f>
        <v>78.0934434796724</v>
      </c>
      <c r="AC51" s="36" t="n">
        <f aca="false">AB51*(1-Assumptions!$F$27)</f>
        <v>73.407836870892</v>
      </c>
      <c r="AD51" s="36" t="n">
        <f aca="false">AC51*(1-Assumptions!$F$27)</f>
        <v>69.0033666586385</v>
      </c>
      <c r="AE51" s="36" t="n">
        <f aca="false">AD51*(1-Assumptions!$F$27)</f>
        <v>64.8631646591202</v>
      </c>
      <c r="AF51" s="36" t="n">
        <f aca="false">AE51*(1-Assumptions!$F$27)</f>
        <v>60.971374779573</v>
      </c>
      <c r="AG51" s="36" t="n">
        <f aca="false">AF51*(1-Assumptions!$F$27)</f>
        <v>57.3130922927986</v>
      </c>
      <c r="AH51" s="36" t="n">
        <f aca="false">AG51*(1-Assumptions!$F$27)</f>
        <v>53.8743067552307</v>
      </c>
      <c r="AI51" s="36" t="n">
        <f aca="false">AH51*(1-Assumptions!$F$27)</f>
        <v>50.6418483499168</v>
      </c>
      <c r="AJ51" s="36" t="n">
        <f aca="false">AI51*(1-Assumptions!$F$27)</f>
        <v>47.6033374489218</v>
      </c>
      <c r="AK51" s="36" t="n">
        <f aca="false">AJ51*(1-Assumptions!$F$27)</f>
        <v>44.7471372019865</v>
      </c>
      <c r="AL51" s="36" t="n">
        <f aca="false">AK51*(1-Assumptions!$F$27)</f>
        <v>42.0623089698673</v>
      </c>
    </row>
    <row r="52" customFormat="false" ht="15" hidden="false" customHeight="false" outlineLevel="0" collapsed="false">
      <c r="A52" s="8" t="s">
        <v>206</v>
      </c>
      <c r="B52" s="14" t="s">
        <v>161</v>
      </c>
      <c r="C52" s="43" t="n">
        <v>0</v>
      </c>
      <c r="D52" s="43" t="n">
        <v>0</v>
      </c>
      <c r="E52" s="43" t="n">
        <v>0</v>
      </c>
      <c r="F52" s="43" t="n">
        <v>0</v>
      </c>
      <c r="G52" s="43" t="n">
        <v>0</v>
      </c>
      <c r="H52" s="43" t="n">
        <v>0</v>
      </c>
      <c r="I52" s="43" t="n">
        <v>0</v>
      </c>
      <c r="J52" s="43" t="n">
        <v>0</v>
      </c>
      <c r="K52" s="43" t="n">
        <v>0</v>
      </c>
      <c r="L52" s="43" t="n">
        <v>0</v>
      </c>
      <c r="M52" s="43" t="n">
        <v>0</v>
      </c>
      <c r="N52" s="43" t="n">
        <v>0</v>
      </c>
      <c r="O52" s="43" t="n">
        <v>0</v>
      </c>
      <c r="P52" s="43" t="n">
        <v>0</v>
      </c>
      <c r="Q52" s="43" t="n">
        <v>0</v>
      </c>
      <c r="R52" s="43" t="n">
        <v>0</v>
      </c>
      <c r="S52" s="43" t="n">
        <v>0</v>
      </c>
      <c r="T52" s="43" t="n">
        <v>0</v>
      </c>
      <c r="U52" s="43" t="n">
        <v>0</v>
      </c>
      <c r="V52" s="43" t="n">
        <v>0</v>
      </c>
      <c r="W52" s="43" t="n">
        <v>0</v>
      </c>
      <c r="X52" s="43" t="n">
        <v>0</v>
      </c>
      <c r="Y52" s="43" t="n">
        <v>0</v>
      </c>
      <c r="Z52" s="43" t="n">
        <v>0</v>
      </c>
      <c r="AA52" s="43" t="n">
        <v>0</v>
      </c>
      <c r="AB52" s="36" t="n">
        <f aca="false">AB15</f>
        <v>91.9114541070572</v>
      </c>
      <c r="AC52" s="36" t="n">
        <f aca="false">AB52*(1-Assumptions!$F$27)</f>
        <v>86.3967668606338</v>
      </c>
      <c r="AD52" s="36" t="n">
        <f aca="false">AC52*(1-Assumptions!$F$27)</f>
        <v>81.2129608489958</v>
      </c>
      <c r="AE52" s="36" t="n">
        <f aca="false">AD52*(1-Assumptions!$F$27)</f>
        <v>76.340183198056</v>
      </c>
      <c r="AF52" s="36" t="n">
        <f aca="false">AE52*(1-Assumptions!$F$27)</f>
        <v>71.7597722061727</v>
      </c>
      <c r="AG52" s="36" t="n">
        <f aca="false">AF52*(1-Assumptions!$F$27)</f>
        <v>67.4541858738023</v>
      </c>
      <c r="AH52" s="36" t="n">
        <f aca="false">AG52*(1-Assumptions!$F$27)</f>
        <v>63.4069347213742</v>
      </c>
      <c r="AI52" s="36" t="n">
        <f aca="false">AH52*(1-Assumptions!$F$27)</f>
        <v>59.6025186380917</v>
      </c>
      <c r="AJ52" s="36" t="n">
        <f aca="false">AI52*(1-Assumptions!$F$27)</f>
        <v>56.0263675198062</v>
      </c>
      <c r="AK52" s="36" t="n">
        <f aca="false">AJ52*(1-Assumptions!$F$27)</f>
        <v>52.6647854686178</v>
      </c>
      <c r="AL52" s="36" t="n">
        <f aca="false">AK52*(1-Assumptions!$F$27)</f>
        <v>49.5048983405008</v>
      </c>
    </row>
    <row r="53" customFormat="false" ht="15" hidden="false" customHeight="false" outlineLevel="0" collapsed="false">
      <c r="A53" s="8" t="s">
        <v>207</v>
      </c>
      <c r="B53" s="14" t="s">
        <v>161</v>
      </c>
      <c r="C53" s="43" t="n">
        <v>0</v>
      </c>
      <c r="D53" s="43" t="n">
        <v>0</v>
      </c>
      <c r="E53" s="43" t="n">
        <v>0</v>
      </c>
      <c r="F53" s="43" t="n">
        <v>0</v>
      </c>
      <c r="G53" s="43" t="n">
        <v>0</v>
      </c>
      <c r="H53" s="43" t="n">
        <v>0</v>
      </c>
      <c r="I53" s="43" t="n">
        <v>0</v>
      </c>
      <c r="J53" s="43" t="n">
        <v>0</v>
      </c>
      <c r="K53" s="43" t="n">
        <v>0</v>
      </c>
      <c r="L53" s="43" t="n">
        <v>0</v>
      </c>
      <c r="M53" s="43" t="n">
        <v>0</v>
      </c>
      <c r="N53" s="43" t="n">
        <v>0</v>
      </c>
      <c r="O53" s="43" t="n">
        <v>0</v>
      </c>
      <c r="P53" s="43" t="n">
        <v>0</v>
      </c>
      <c r="Q53" s="43" t="n">
        <v>0</v>
      </c>
      <c r="R53" s="43" t="n">
        <v>0</v>
      </c>
      <c r="S53" s="43" t="n">
        <v>0</v>
      </c>
      <c r="T53" s="43" t="n">
        <v>0</v>
      </c>
      <c r="U53" s="43" t="n">
        <v>0</v>
      </c>
      <c r="V53" s="43" t="n">
        <v>0</v>
      </c>
      <c r="W53" s="43" t="n">
        <v>0</v>
      </c>
      <c r="X53" s="43" t="n">
        <v>0</v>
      </c>
      <c r="Y53" s="43" t="n">
        <v>0</v>
      </c>
      <c r="Z53" s="43" t="n">
        <v>0</v>
      </c>
      <c r="AA53" s="43" t="n">
        <v>0</v>
      </c>
      <c r="AB53" s="43" t="n">
        <v>0</v>
      </c>
      <c r="AC53" s="36" t="n">
        <f aca="false">AC15</f>
        <v>101.712782004507</v>
      </c>
      <c r="AD53" s="36" t="n">
        <f aca="false">AC53*(1-Assumptions!$F$27)</f>
        <v>95.6100150842367</v>
      </c>
      <c r="AE53" s="36" t="n">
        <f aca="false">AD53*(1-Assumptions!$F$27)</f>
        <v>89.8734141791825</v>
      </c>
      <c r="AF53" s="36" t="n">
        <f aca="false">AE53*(1-Assumptions!$F$27)</f>
        <v>84.4810093284315</v>
      </c>
      <c r="AG53" s="36" t="n">
        <f aca="false">AF53*(1-Assumptions!$F$27)</f>
        <v>79.4121487687256</v>
      </c>
      <c r="AH53" s="36" t="n">
        <f aca="false">AG53*(1-Assumptions!$F$27)</f>
        <v>74.6474198426021</v>
      </c>
      <c r="AI53" s="36" t="n">
        <f aca="false">AH53*(1-Assumptions!$F$27)</f>
        <v>70.168574652046</v>
      </c>
      <c r="AJ53" s="36" t="n">
        <f aca="false">AI53*(1-Assumptions!$F$27)</f>
        <v>65.9584601729232</v>
      </c>
      <c r="AK53" s="36" t="n">
        <f aca="false">AJ53*(1-Assumptions!$F$27)</f>
        <v>62.0009525625478</v>
      </c>
      <c r="AL53" s="36" t="n">
        <f aca="false">AK53*(1-Assumptions!$F$27)</f>
        <v>58.280895408795</v>
      </c>
    </row>
    <row r="54" customFormat="false" ht="15" hidden="false" customHeight="false" outlineLevel="0" collapsed="false">
      <c r="A54" s="8" t="s">
        <v>208</v>
      </c>
      <c r="B54" s="14" t="s">
        <v>161</v>
      </c>
      <c r="C54" s="43" t="n">
        <v>0</v>
      </c>
      <c r="D54" s="43" t="n">
        <v>0</v>
      </c>
      <c r="E54" s="43" t="n">
        <v>0</v>
      </c>
      <c r="F54" s="43" t="n">
        <v>0</v>
      </c>
      <c r="G54" s="43" t="n">
        <v>0</v>
      </c>
      <c r="H54" s="43" t="n">
        <v>0</v>
      </c>
      <c r="I54" s="43" t="n">
        <v>0</v>
      </c>
      <c r="J54" s="43" t="n">
        <v>0</v>
      </c>
      <c r="K54" s="43" t="n">
        <v>0</v>
      </c>
      <c r="L54" s="43" t="n">
        <v>0</v>
      </c>
      <c r="M54" s="43" t="n">
        <v>0</v>
      </c>
      <c r="N54" s="43" t="n">
        <v>0</v>
      </c>
      <c r="O54" s="43" t="n">
        <v>0</v>
      </c>
      <c r="P54" s="43" t="n">
        <v>0</v>
      </c>
      <c r="Q54" s="43" t="n">
        <v>0</v>
      </c>
      <c r="R54" s="43" t="n">
        <v>0</v>
      </c>
      <c r="S54" s="43" t="n">
        <v>0</v>
      </c>
      <c r="T54" s="43" t="n">
        <v>0</v>
      </c>
      <c r="U54" s="43" t="n">
        <v>0</v>
      </c>
      <c r="V54" s="43" t="n">
        <v>0</v>
      </c>
      <c r="W54" s="43" t="n">
        <v>0</v>
      </c>
      <c r="X54" s="43" t="n">
        <v>0</v>
      </c>
      <c r="Y54" s="43" t="n">
        <v>0</v>
      </c>
      <c r="Z54" s="43" t="n">
        <v>0</v>
      </c>
      <c r="AA54" s="43" t="n">
        <v>0</v>
      </c>
      <c r="AB54" s="43" t="n">
        <v>0</v>
      </c>
      <c r="AC54" s="43" t="n">
        <v>0</v>
      </c>
      <c r="AD54" s="36" t="n">
        <f aca="false">AD15</f>
        <v>107.927382584939</v>
      </c>
      <c r="AE54" s="36" t="n">
        <f aca="false">AD54*(1-Assumptions!$F$27)</f>
        <v>101.451739629843</v>
      </c>
      <c r="AF54" s="36" t="n">
        <f aca="false">AE54*(1-Assumptions!$F$27)</f>
        <v>95.3646352520524</v>
      </c>
      <c r="AG54" s="36" t="n">
        <f aca="false">AF54*(1-Assumptions!$F$27)</f>
        <v>89.6427571369293</v>
      </c>
      <c r="AH54" s="36" t="n">
        <f aca="false">AG54*(1-Assumptions!$F$27)</f>
        <v>84.2641917087135</v>
      </c>
      <c r="AI54" s="36" t="n">
        <f aca="false">AH54*(1-Assumptions!$F$27)</f>
        <v>79.2083402061907</v>
      </c>
      <c r="AJ54" s="36" t="n">
        <f aca="false">AI54*(1-Assumptions!$F$27)</f>
        <v>74.4558397938193</v>
      </c>
      <c r="AK54" s="36" t="n">
        <f aca="false">AJ54*(1-Assumptions!$F$27)</f>
        <v>69.9884894061901</v>
      </c>
      <c r="AL54" s="36" t="n">
        <f aca="false">AK54*(1-Assumptions!$F$27)</f>
        <v>65.7891800418187</v>
      </c>
    </row>
    <row r="55" customFormat="false" ht="15" hidden="false" customHeight="false" outlineLevel="0" collapsed="false">
      <c r="A55" s="8" t="s">
        <v>209</v>
      </c>
      <c r="B55" s="14" t="s">
        <v>161</v>
      </c>
      <c r="C55" s="43" t="n">
        <v>0</v>
      </c>
      <c r="D55" s="43" t="n">
        <v>0</v>
      </c>
      <c r="E55" s="43" t="n">
        <v>0</v>
      </c>
      <c r="F55" s="43" t="n">
        <v>0</v>
      </c>
      <c r="G55" s="43" t="n">
        <v>0</v>
      </c>
      <c r="H55" s="43" t="n">
        <v>0</v>
      </c>
      <c r="I55" s="43" t="n">
        <v>0</v>
      </c>
      <c r="J55" s="43" t="n">
        <v>0</v>
      </c>
      <c r="K55" s="43" t="n">
        <v>0</v>
      </c>
      <c r="L55" s="43" t="n">
        <v>0</v>
      </c>
      <c r="M55" s="43" t="n">
        <v>0</v>
      </c>
      <c r="N55" s="43" t="n">
        <v>0</v>
      </c>
      <c r="O55" s="43" t="n">
        <v>0</v>
      </c>
      <c r="P55" s="43" t="n">
        <v>0</v>
      </c>
      <c r="Q55" s="43" t="n">
        <v>0</v>
      </c>
      <c r="R55" s="43" t="n">
        <v>0</v>
      </c>
      <c r="S55" s="43" t="n">
        <v>0</v>
      </c>
      <c r="T55" s="43" t="n">
        <v>0</v>
      </c>
      <c r="U55" s="43" t="n">
        <v>0</v>
      </c>
      <c r="V55" s="43" t="n">
        <v>0</v>
      </c>
      <c r="W55" s="43" t="n">
        <v>0</v>
      </c>
      <c r="X55" s="43" t="n">
        <v>0</v>
      </c>
      <c r="Y55" s="43" t="n">
        <v>0</v>
      </c>
      <c r="Z55" s="43" t="n">
        <v>0</v>
      </c>
      <c r="AA55" s="43" t="n">
        <v>0</v>
      </c>
      <c r="AB55" s="43" t="n">
        <v>0</v>
      </c>
      <c r="AC55" s="43" t="n">
        <v>0</v>
      </c>
      <c r="AD55" s="43" t="n">
        <v>0</v>
      </c>
      <c r="AE55" s="36" t="n">
        <f aca="false">AE15</f>
        <v>110.980719127455</v>
      </c>
      <c r="AF55" s="36" t="n">
        <f aca="false">AE55*(1-Assumptions!$F$27)</f>
        <v>104.321875979807</v>
      </c>
      <c r="AG55" s="36" t="n">
        <f aca="false">AF55*(1-Assumptions!$F$27)</f>
        <v>98.0625634210188</v>
      </c>
      <c r="AH55" s="36" t="n">
        <f aca="false">AG55*(1-Assumptions!$F$27)</f>
        <v>92.1788096157577</v>
      </c>
      <c r="AI55" s="36" t="n">
        <f aca="false">AH55*(1-Assumptions!$F$27)</f>
        <v>86.6480810388122</v>
      </c>
      <c r="AJ55" s="36" t="n">
        <f aca="false">AI55*(1-Assumptions!$F$27)</f>
        <v>81.4491961764835</v>
      </c>
      <c r="AK55" s="36" t="n">
        <f aca="false">AJ55*(1-Assumptions!$F$27)</f>
        <v>76.5622444058945</v>
      </c>
      <c r="AL55" s="36" t="n">
        <f aca="false">AK55*(1-Assumptions!$F$27)</f>
        <v>71.9685097415408</v>
      </c>
    </row>
    <row r="56" customFormat="false" ht="15" hidden="false" customHeight="false" outlineLevel="0" collapsed="false">
      <c r="A56" s="8" t="s">
        <v>210</v>
      </c>
      <c r="B56" s="14" t="s">
        <v>161</v>
      </c>
      <c r="C56" s="43" t="n">
        <v>0</v>
      </c>
      <c r="D56" s="43" t="n">
        <v>0</v>
      </c>
      <c r="E56" s="43" t="n">
        <v>0</v>
      </c>
      <c r="F56" s="43" t="n">
        <v>0</v>
      </c>
      <c r="G56" s="43" t="n">
        <v>0</v>
      </c>
      <c r="H56" s="43" t="n">
        <v>0</v>
      </c>
      <c r="I56" s="43" t="n">
        <v>0</v>
      </c>
      <c r="J56" s="43" t="n">
        <v>0</v>
      </c>
      <c r="K56" s="43" t="n">
        <v>0</v>
      </c>
      <c r="L56" s="43" t="n">
        <v>0</v>
      </c>
      <c r="M56" s="43" t="n">
        <v>0</v>
      </c>
      <c r="N56" s="43" t="n">
        <v>0</v>
      </c>
      <c r="O56" s="43" t="n">
        <v>0</v>
      </c>
      <c r="P56" s="43" t="n">
        <v>0</v>
      </c>
      <c r="Q56" s="43" t="n">
        <v>0</v>
      </c>
      <c r="R56" s="43" t="n">
        <v>0</v>
      </c>
      <c r="S56" s="43" t="n">
        <v>0</v>
      </c>
      <c r="T56" s="43" t="n">
        <v>0</v>
      </c>
      <c r="U56" s="43" t="n">
        <v>0</v>
      </c>
      <c r="V56" s="43" t="n">
        <v>0</v>
      </c>
      <c r="W56" s="43" t="n">
        <v>0</v>
      </c>
      <c r="X56" s="43" t="n">
        <v>0</v>
      </c>
      <c r="Y56" s="43" t="n">
        <v>0</v>
      </c>
      <c r="Z56" s="43" t="n">
        <v>0</v>
      </c>
      <c r="AA56" s="43" t="n">
        <v>0</v>
      </c>
      <c r="AB56" s="43" t="n">
        <v>0</v>
      </c>
      <c r="AC56" s="43" t="n">
        <v>0</v>
      </c>
      <c r="AD56" s="43" t="n">
        <v>0</v>
      </c>
      <c r="AE56" s="43" t="n">
        <v>0</v>
      </c>
      <c r="AF56" s="36" t="n">
        <f aca="false">AF15</f>
        <v>114.257523936687</v>
      </c>
      <c r="AG56" s="36" t="n">
        <f aca="false">AF56*(1-Assumptions!$F$27)</f>
        <v>107.402072500486</v>
      </c>
      <c r="AH56" s="36" t="n">
        <f aca="false">AG56*(1-Assumptions!$F$27)</f>
        <v>100.957948150457</v>
      </c>
      <c r="AI56" s="36" t="n">
        <f aca="false">AH56*(1-Assumptions!$F$27)</f>
        <v>94.9004712614296</v>
      </c>
      <c r="AJ56" s="36" t="n">
        <f aca="false">AI56*(1-Assumptions!$F$27)</f>
        <v>89.2064429857438</v>
      </c>
      <c r="AK56" s="36" t="n">
        <f aca="false">AJ56*(1-Assumptions!$F$27)</f>
        <v>83.8540564065992</v>
      </c>
      <c r="AL56" s="36" t="n">
        <f aca="false">AK56*(1-Assumptions!$F$27)</f>
        <v>78.8228130222033</v>
      </c>
    </row>
    <row r="57" customFormat="false" ht="15" hidden="false" customHeight="false" outlineLevel="0" collapsed="false">
      <c r="A57" s="8" t="s">
        <v>211</v>
      </c>
      <c r="B57" s="14" t="s">
        <v>161</v>
      </c>
      <c r="C57" s="43" t="n">
        <v>0</v>
      </c>
      <c r="D57" s="43" t="n">
        <v>0</v>
      </c>
      <c r="E57" s="43" t="n">
        <v>0</v>
      </c>
      <c r="F57" s="43" t="n">
        <v>0</v>
      </c>
      <c r="G57" s="43" t="n">
        <v>0</v>
      </c>
      <c r="H57" s="43" t="n">
        <v>0</v>
      </c>
      <c r="I57" s="43" t="n">
        <v>0</v>
      </c>
      <c r="J57" s="43" t="n">
        <v>0</v>
      </c>
      <c r="K57" s="43" t="n">
        <v>0</v>
      </c>
      <c r="L57" s="43" t="n">
        <v>0</v>
      </c>
      <c r="M57" s="43" t="n">
        <v>0</v>
      </c>
      <c r="N57" s="43" t="n">
        <v>0</v>
      </c>
      <c r="O57" s="43" t="n">
        <v>0</v>
      </c>
      <c r="P57" s="43" t="n">
        <v>0</v>
      </c>
      <c r="Q57" s="43" t="n">
        <v>0</v>
      </c>
      <c r="R57" s="43" t="n">
        <v>0</v>
      </c>
      <c r="S57" s="43" t="n">
        <v>0</v>
      </c>
      <c r="T57" s="43" t="n">
        <v>0</v>
      </c>
      <c r="U57" s="43" t="n">
        <v>0</v>
      </c>
      <c r="V57" s="43" t="n">
        <v>0</v>
      </c>
      <c r="W57" s="43" t="n">
        <v>0</v>
      </c>
      <c r="X57" s="43" t="n">
        <v>0</v>
      </c>
      <c r="Y57" s="43" t="n">
        <v>0</v>
      </c>
      <c r="Z57" s="43" t="n">
        <v>0</v>
      </c>
      <c r="AA57" s="43" t="n">
        <v>0</v>
      </c>
      <c r="AB57" s="43" t="n">
        <v>0</v>
      </c>
      <c r="AC57" s="43" t="n">
        <v>0</v>
      </c>
      <c r="AD57" s="43" t="n">
        <v>0</v>
      </c>
      <c r="AE57" s="43" t="n">
        <v>0</v>
      </c>
      <c r="AF57" s="43" t="n">
        <v>0</v>
      </c>
      <c r="AG57" s="36" t="n">
        <f aca="false">AG15</f>
        <v>117.776599607405</v>
      </c>
      <c r="AH57" s="36" t="n">
        <f aca="false">AG57*(1-Assumptions!$F$27)</f>
        <v>110.710003630961</v>
      </c>
      <c r="AI57" s="36" t="n">
        <f aca="false">AH57*(1-Assumptions!$F$27)</f>
        <v>104.067403413103</v>
      </c>
      <c r="AJ57" s="36" t="n">
        <f aca="false">AI57*(1-Assumptions!$F$27)</f>
        <v>97.823359208317</v>
      </c>
      <c r="AK57" s="36" t="n">
        <f aca="false">AJ57*(1-Assumptions!$F$27)</f>
        <v>91.953957655818</v>
      </c>
      <c r="AL57" s="36" t="n">
        <f aca="false">AK57*(1-Assumptions!$F$27)</f>
        <v>86.4367201964689</v>
      </c>
    </row>
    <row r="58" customFormat="false" ht="15" hidden="false" customHeight="false" outlineLevel="0" collapsed="false">
      <c r="A58" s="8" t="s">
        <v>212</v>
      </c>
      <c r="B58" s="14" t="s">
        <v>161</v>
      </c>
      <c r="C58" s="43" t="n">
        <v>0</v>
      </c>
      <c r="D58" s="43" t="n">
        <v>0</v>
      </c>
      <c r="E58" s="43" t="n">
        <v>0</v>
      </c>
      <c r="F58" s="43" t="n">
        <v>0</v>
      </c>
      <c r="G58" s="43" t="n">
        <v>0</v>
      </c>
      <c r="H58" s="43" t="n">
        <v>0</v>
      </c>
      <c r="I58" s="43" t="n">
        <v>0</v>
      </c>
      <c r="J58" s="43" t="n">
        <v>0</v>
      </c>
      <c r="K58" s="43" t="n">
        <v>0</v>
      </c>
      <c r="L58" s="43" t="n">
        <v>0</v>
      </c>
      <c r="M58" s="43" t="n">
        <v>0</v>
      </c>
      <c r="N58" s="43" t="n">
        <v>0</v>
      </c>
      <c r="O58" s="43" t="n">
        <v>0</v>
      </c>
      <c r="P58" s="43" t="n">
        <v>0</v>
      </c>
      <c r="Q58" s="43" t="n">
        <v>0</v>
      </c>
      <c r="R58" s="43" t="n">
        <v>0</v>
      </c>
      <c r="S58" s="43" t="n">
        <v>0</v>
      </c>
      <c r="T58" s="43" t="n">
        <v>0</v>
      </c>
      <c r="U58" s="43" t="n">
        <v>0</v>
      </c>
      <c r="V58" s="43" t="n">
        <v>0</v>
      </c>
      <c r="W58" s="43" t="n">
        <v>0</v>
      </c>
      <c r="X58" s="43" t="n">
        <v>0</v>
      </c>
      <c r="Y58" s="43" t="n">
        <v>0</v>
      </c>
      <c r="Z58" s="43" t="n">
        <v>0</v>
      </c>
      <c r="AA58" s="43" t="n">
        <v>0</v>
      </c>
      <c r="AB58" s="43" t="n">
        <v>0</v>
      </c>
      <c r="AC58" s="43" t="n">
        <v>0</v>
      </c>
      <c r="AD58" s="43" t="n">
        <v>0</v>
      </c>
      <c r="AE58" s="43" t="n">
        <v>0</v>
      </c>
      <c r="AF58" s="43" t="n">
        <v>0</v>
      </c>
      <c r="AG58" s="43" t="n">
        <v>0</v>
      </c>
      <c r="AH58" s="36" t="n">
        <f aca="false">AH15</f>
        <v>121.558195696952</v>
      </c>
      <c r="AI58" s="36" t="n">
        <f aca="false">AH58*(1-Assumptions!$F$27)</f>
        <v>114.264703955135</v>
      </c>
      <c r="AJ58" s="36" t="n">
        <f aca="false">AI58*(1-Assumptions!$F$27)</f>
        <v>107.408821717827</v>
      </c>
      <c r="AK58" s="36" t="n">
        <f aca="false">AJ58*(1-Assumptions!$F$27)</f>
        <v>100.964292414757</v>
      </c>
      <c r="AL58" s="36" t="n">
        <f aca="false">AK58*(1-Assumptions!$F$27)</f>
        <v>94.9064348698716</v>
      </c>
    </row>
    <row r="59" customFormat="false" ht="15" hidden="false" customHeight="false" outlineLevel="0" collapsed="false">
      <c r="A59" s="8" t="s">
        <v>213</v>
      </c>
      <c r="B59" s="14" t="s">
        <v>161</v>
      </c>
      <c r="C59" s="43" t="n">
        <v>0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43" t="n">
        <v>0</v>
      </c>
      <c r="K59" s="43" t="n">
        <v>0</v>
      </c>
      <c r="L59" s="43" t="n">
        <v>0</v>
      </c>
      <c r="M59" s="43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3" t="n">
        <v>0</v>
      </c>
      <c r="V59" s="43" t="n">
        <v>0</v>
      </c>
      <c r="W59" s="43" t="n">
        <v>0</v>
      </c>
      <c r="X59" s="43" t="n">
        <v>0</v>
      </c>
      <c r="Y59" s="43" t="n">
        <v>0</v>
      </c>
      <c r="Z59" s="43" t="n">
        <v>0</v>
      </c>
      <c r="AA59" s="43" t="n">
        <v>0</v>
      </c>
      <c r="AB59" s="43" t="n">
        <v>0</v>
      </c>
      <c r="AC59" s="43" t="n">
        <v>0</v>
      </c>
      <c r="AD59" s="43" t="n">
        <v>0</v>
      </c>
      <c r="AE59" s="43" t="n">
        <v>0</v>
      </c>
      <c r="AF59" s="43" t="n">
        <v>0</v>
      </c>
      <c r="AG59" s="43" t="n">
        <v>0</v>
      </c>
      <c r="AH59" s="43" t="n">
        <v>0</v>
      </c>
      <c r="AI59" s="36" t="n">
        <f aca="false">AI15</f>
        <v>125.624127288633</v>
      </c>
      <c r="AJ59" s="36" t="n">
        <f aca="false">AI59*(1-Assumptions!$F$27)</f>
        <v>118.086679651315</v>
      </c>
      <c r="AK59" s="36" t="n">
        <f aca="false">AJ59*(1-Assumptions!$F$27)</f>
        <v>111.001478872236</v>
      </c>
      <c r="AL59" s="36" t="n">
        <f aca="false">AK59*(1-Assumptions!$F$27)</f>
        <v>104.341390139902</v>
      </c>
    </row>
    <row r="60" customFormat="false" ht="15" hidden="false" customHeight="false" outlineLevel="0" collapsed="false">
      <c r="A60" s="8" t="s">
        <v>214</v>
      </c>
      <c r="B60" s="14" t="s">
        <v>161</v>
      </c>
      <c r="C60" s="43" t="n">
        <v>0</v>
      </c>
      <c r="D60" s="43" t="n">
        <v>0</v>
      </c>
      <c r="E60" s="43" t="n">
        <v>0</v>
      </c>
      <c r="F60" s="43" t="n">
        <v>0</v>
      </c>
      <c r="G60" s="43" t="n">
        <v>0</v>
      </c>
      <c r="H60" s="43" t="n">
        <v>0</v>
      </c>
      <c r="I60" s="43" t="n">
        <v>0</v>
      </c>
      <c r="J60" s="43" t="n">
        <v>0</v>
      </c>
      <c r="K60" s="43" t="n">
        <v>0</v>
      </c>
      <c r="L60" s="43" t="n">
        <v>0</v>
      </c>
      <c r="M60" s="43" t="n">
        <v>0</v>
      </c>
      <c r="N60" s="43" t="n">
        <v>0</v>
      </c>
      <c r="O60" s="43" t="n">
        <v>0</v>
      </c>
      <c r="P60" s="43" t="n">
        <v>0</v>
      </c>
      <c r="Q60" s="43" t="n">
        <v>0</v>
      </c>
      <c r="R60" s="43" t="n">
        <v>0</v>
      </c>
      <c r="S60" s="43" t="n">
        <v>0</v>
      </c>
      <c r="T60" s="43" t="n">
        <v>0</v>
      </c>
      <c r="U60" s="43" t="n">
        <v>0</v>
      </c>
      <c r="V60" s="43" t="n">
        <v>0</v>
      </c>
      <c r="W60" s="43" t="n">
        <v>0</v>
      </c>
      <c r="X60" s="43" t="n">
        <v>0</v>
      </c>
      <c r="Y60" s="43" t="n">
        <v>0</v>
      </c>
      <c r="Z60" s="43" t="n">
        <v>0</v>
      </c>
      <c r="AA60" s="43" t="n">
        <v>0</v>
      </c>
      <c r="AB60" s="43" t="n">
        <v>0</v>
      </c>
      <c r="AC60" s="43" t="n">
        <v>0</v>
      </c>
      <c r="AD60" s="43" t="n">
        <v>0</v>
      </c>
      <c r="AE60" s="43" t="n">
        <v>0</v>
      </c>
      <c r="AF60" s="43" t="n">
        <v>0</v>
      </c>
      <c r="AG60" s="43" t="n">
        <v>0</v>
      </c>
      <c r="AH60" s="43" t="n">
        <v>0</v>
      </c>
      <c r="AI60" s="43" t="n">
        <v>0</v>
      </c>
      <c r="AJ60" s="36" t="n">
        <f aca="false">AJ15</f>
        <v>127.023284427447</v>
      </c>
      <c r="AK60" s="36" t="n">
        <f aca="false">AJ60*(1-Assumptions!$F$27)</f>
        <v>119.4018873618</v>
      </c>
      <c r="AL60" s="36" t="n">
        <f aca="false">AK60*(1-Assumptions!$F$27)</f>
        <v>112.237774120092</v>
      </c>
    </row>
    <row r="61" customFormat="false" ht="15" hidden="false" customHeight="false" outlineLevel="0" collapsed="false">
      <c r="A61" s="8" t="s">
        <v>215</v>
      </c>
      <c r="B61" s="14" t="s">
        <v>161</v>
      </c>
      <c r="C61" s="43" t="n">
        <v>0</v>
      </c>
      <c r="D61" s="43" t="n">
        <v>0</v>
      </c>
      <c r="E61" s="43" t="n">
        <v>0</v>
      </c>
      <c r="F61" s="43" t="n">
        <v>0</v>
      </c>
      <c r="G61" s="43" t="n">
        <v>0</v>
      </c>
      <c r="H61" s="43" t="n">
        <v>0</v>
      </c>
      <c r="I61" s="43" t="n">
        <v>0</v>
      </c>
      <c r="J61" s="43" t="n">
        <v>0</v>
      </c>
      <c r="K61" s="43" t="n">
        <v>0</v>
      </c>
      <c r="L61" s="43" t="n">
        <v>0</v>
      </c>
      <c r="M61" s="43" t="n">
        <v>0</v>
      </c>
      <c r="N61" s="43" t="n">
        <v>0</v>
      </c>
      <c r="O61" s="43" t="n">
        <v>0</v>
      </c>
      <c r="P61" s="43" t="n">
        <v>0</v>
      </c>
      <c r="Q61" s="43" t="n">
        <v>0</v>
      </c>
      <c r="R61" s="43" t="n">
        <v>0</v>
      </c>
      <c r="S61" s="43" t="n">
        <v>0</v>
      </c>
      <c r="T61" s="43" t="n">
        <v>0</v>
      </c>
      <c r="U61" s="43" t="n">
        <v>0</v>
      </c>
      <c r="V61" s="43" t="n">
        <v>0</v>
      </c>
      <c r="W61" s="43" t="n">
        <v>0</v>
      </c>
      <c r="X61" s="43" t="n">
        <v>0</v>
      </c>
      <c r="Y61" s="43" t="n">
        <v>0</v>
      </c>
      <c r="Z61" s="43" t="n">
        <v>0</v>
      </c>
      <c r="AA61" s="43" t="n">
        <v>0</v>
      </c>
      <c r="AB61" s="43" t="n">
        <v>0</v>
      </c>
      <c r="AC61" s="43" t="n">
        <v>0</v>
      </c>
      <c r="AD61" s="43" t="n">
        <v>0</v>
      </c>
      <c r="AE61" s="43" t="n">
        <v>0</v>
      </c>
      <c r="AF61" s="43" t="n">
        <v>0</v>
      </c>
      <c r="AG61" s="43" t="n">
        <v>0</v>
      </c>
      <c r="AH61" s="43" t="n">
        <v>0</v>
      </c>
      <c r="AI61" s="43" t="n">
        <v>0</v>
      </c>
      <c r="AJ61" s="43" t="n">
        <v>0</v>
      </c>
      <c r="AK61" s="36" t="n">
        <f aca="false">AK15</f>
        <v>127.258457828181</v>
      </c>
      <c r="AL61" s="36" t="n">
        <f aca="false">AK61*(1-Assumptions!$F$27)</f>
        <v>119.62295035849</v>
      </c>
    </row>
    <row r="62" customFormat="false" ht="15" hidden="false" customHeight="false" outlineLevel="0" collapsed="false">
      <c r="A62" s="8" t="s">
        <v>216</v>
      </c>
      <c r="B62" s="14" t="s">
        <v>161</v>
      </c>
      <c r="C62" s="43" t="n">
        <v>0</v>
      </c>
      <c r="D62" s="43" t="n">
        <v>0</v>
      </c>
      <c r="E62" s="43" t="n">
        <v>0</v>
      </c>
      <c r="F62" s="43" t="n">
        <v>0</v>
      </c>
      <c r="G62" s="43" t="n">
        <v>0</v>
      </c>
      <c r="H62" s="43" t="n">
        <v>0</v>
      </c>
      <c r="I62" s="43" t="n">
        <v>0</v>
      </c>
      <c r="J62" s="43" t="n">
        <v>0</v>
      </c>
      <c r="K62" s="43" t="n">
        <v>0</v>
      </c>
      <c r="L62" s="43" t="n">
        <v>0</v>
      </c>
      <c r="M62" s="43" t="n">
        <v>0</v>
      </c>
      <c r="N62" s="43" t="n">
        <v>0</v>
      </c>
      <c r="O62" s="43" t="n">
        <v>0</v>
      </c>
      <c r="P62" s="43" t="n">
        <v>0</v>
      </c>
      <c r="Q62" s="43" t="n">
        <v>0</v>
      </c>
      <c r="R62" s="43" t="n">
        <v>0</v>
      </c>
      <c r="S62" s="43" t="n">
        <v>0</v>
      </c>
      <c r="T62" s="43" t="n">
        <v>0</v>
      </c>
      <c r="U62" s="43" t="n">
        <v>0</v>
      </c>
      <c r="V62" s="43" t="n">
        <v>0</v>
      </c>
      <c r="W62" s="43" t="n">
        <v>0</v>
      </c>
      <c r="X62" s="43" t="n">
        <v>0</v>
      </c>
      <c r="Y62" s="43" t="n">
        <v>0</v>
      </c>
      <c r="Z62" s="43" t="n">
        <v>0</v>
      </c>
      <c r="AA62" s="43" t="n">
        <v>0</v>
      </c>
      <c r="AB62" s="43" t="n">
        <v>0</v>
      </c>
      <c r="AC62" s="43" t="n">
        <v>0</v>
      </c>
      <c r="AD62" s="43" t="n">
        <v>0</v>
      </c>
      <c r="AE62" s="43" t="n">
        <v>0</v>
      </c>
      <c r="AF62" s="43" t="n">
        <v>0</v>
      </c>
      <c r="AG62" s="43" t="n">
        <v>0</v>
      </c>
      <c r="AH62" s="43" t="n">
        <v>0</v>
      </c>
      <c r="AI62" s="43" t="n">
        <v>0</v>
      </c>
      <c r="AJ62" s="43" t="n">
        <v>0</v>
      </c>
      <c r="AK62" s="43" t="n">
        <v>0</v>
      </c>
      <c r="AL62" s="36" t="n">
        <f aca="false">AL15</f>
        <v>127.482891038408</v>
      </c>
    </row>
    <row r="64" customFormat="false" ht="15" hidden="false" customHeight="false" outlineLevel="0" collapsed="false">
      <c r="A64" s="12" t="s">
        <v>217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</row>
    <row r="65" customFormat="false" ht="15" hidden="false" customHeight="false" outlineLevel="0" collapsed="false">
      <c r="A65" s="5" t="s">
        <v>180</v>
      </c>
      <c r="B65" s="41" t="s">
        <v>161</v>
      </c>
      <c r="C65" s="42" t="n">
        <v>1</v>
      </c>
      <c r="D65" s="42" t="n">
        <v>2</v>
      </c>
      <c r="E65" s="42" t="n">
        <v>3</v>
      </c>
      <c r="F65" s="42" t="n">
        <v>4</v>
      </c>
      <c r="G65" s="42" t="n">
        <v>5</v>
      </c>
      <c r="H65" s="42" t="n">
        <v>6</v>
      </c>
      <c r="I65" s="42" t="n">
        <v>7</v>
      </c>
      <c r="J65" s="42" t="n">
        <v>8</v>
      </c>
      <c r="K65" s="42" t="n">
        <v>9</v>
      </c>
      <c r="L65" s="42" t="n">
        <v>10</v>
      </c>
      <c r="M65" s="42" t="n">
        <v>11</v>
      </c>
      <c r="N65" s="42" t="n">
        <v>12</v>
      </c>
      <c r="O65" s="42" t="n">
        <v>13</v>
      </c>
      <c r="P65" s="42" t="n">
        <v>14</v>
      </c>
      <c r="Q65" s="42" t="n">
        <v>15</v>
      </c>
      <c r="R65" s="42" t="n">
        <v>16</v>
      </c>
      <c r="S65" s="42" t="n">
        <v>17</v>
      </c>
      <c r="T65" s="42" t="n">
        <v>18</v>
      </c>
      <c r="U65" s="42" t="n">
        <v>19</v>
      </c>
      <c r="V65" s="42" t="n">
        <v>20</v>
      </c>
      <c r="W65" s="42" t="n">
        <v>21</v>
      </c>
      <c r="X65" s="42" t="n">
        <v>22</v>
      </c>
      <c r="Y65" s="42" t="n">
        <v>23</v>
      </c>
      <c r="Z65" s="42" t="n">
        <v>24</v>
      </c>
      <c r="AA65" s="42" t="n">
        <v>25</v>
      </c>
      <c r="AB65" s="42" t="n">
        <v>26</v>
      </c>
      <c r="AC65" s="42" t="n">
        <v>27</v>
      </c>
      <c r="AD65" s="42" t="n">
        <v>28</v>
      </c>
      <c r="AE65" s="42" t="n">
        <v>29</v>
      </c>
      <c r="AF65" s="42" t="n">
        <v>30</v>
      </c>
      <c r="AG65" s="42" t="n">
        <v>31</v>
      </c>
      <c r="AH65" s="42" t="n">
        <v>32</v>
      </c>
      <c r="AI65" s="42" t="n">
        <v>33</v>
      </c>
      <c r="AJ65" s="42" t="n">
        <v>34</v>
      </c>
      <c r="AK65" s="42" t="n">
        <v>35</v>
      </c>
      <c r="AL65" s="42" t="n">
        <v>36</v>
      </c>
    </row>
    <row r="66" customFormat="false" ht="15" hidden="false" customHeight="false" outlineLevel="0" collapsed="false">
      <c r="A66" s="8" t="s">
        <v>181</v>
      </c>
      <c r="B66" s="14" t="s">
        <v>161</v>
      </c>
      <c r="C66" s="36" t="n">
        <f aca="false">C16</f>
        <v>1.98</v>
      </c>
      <c r="D66" s="36" t="n">
        <f aca="false">C66</f>
        <v>1.98</v>
      </c>
      <c r="E66" s="36" t="n">
        <f aca="false">D66</f>
        <v>1.98</v>
      </c>
      <c r="F66" s="36" t="n">
        <f aca="false">E66</f>
        <v>1.98</v>
      </c>
      <c r="G66" s="36" t="n">
        <f aca="false">F66</f>
        <v>1.98</v>
      </c>
      <c r="H66" s="36" t="n">
        <f aca="false">G66</f>
        <v>1.98</v>
      </c>
      <c r="I66" s="36" t="n">
        <f aca="false">H66</f>
        <v>1.98</v>
      </c>
      <c r="J66" s="36" t="n">
        <f aca="false">I66</f>
        <v>1.98</v>
      </c>
      <c r="K66" s="36" t="n">
        <f aca="false">J66</f>
        <v>1.98</v>
      </c>
      <c r="L66" s="36" t="n">
        <f aca="false">K66</f>
        <v>1.98</v>
      </c>
      <c r="M66" s="36" t="n">
        <f aca="false">L66</f>
        <v>1.98</v>
      </c>
      <c r="N66" s="36" t="n">
        <f aca="false">M66</f>
        <v>1.98</v>
      </c>
      <c r="O66" s="36" t="n">
        <f aca="false">N66*Assumptions!$F$28</f>
        <v>1.386</v>
      </c>
      <c r="P66" s="36" t="n">
        <f aca="false">O66</f>
        <v>1.386</v>
      </c>
      <c r="Q66" s="36" t="n">
        <f aca="false">P66</f>
        <v>1.386</v>
      </c>
      <c r="R66" s="36" t="n">
        <f aca="false">Q66</f>
        <v>1.386</v>
      </c>
      <c r="S66" s="36" t="n">
        <f aca="false">R66</f>
        <v>1.386</v>
      </c>
      <c r="T66" s="36" t="n">
        <f aca="false">S66</f>
        <v>1.386</v>
      </c>
      <c r="U66" s="36" t="n">
        <f aca="false">T66</f>
        <v>1.386</v>
      </c>
      <c r="V66" s="36" t="n">
        <f aca="false">U66</f>
        <v>1.386</v>
      </c>
      <c r="W66" s="36" t="n">
        <f aca="false">V66</f>
        <v>1.386</v>
      </c>
      <c r="X66" s="36" t="n">
        <f aca="false">W66</f>
        <v>1.386</v>
      </c>
      <c r="Y66" s="36" t="n">
        <f aca="false">X66</f>
        <v>1.386</v>
      </c>
      <c r="Z66" s="36" t="n">
        <f aca="false">Y66</f>
        <v>1.386</v>
      </c>
      <c r="AA66" s="36" t="n">
        <f aca="false">Z66*Assumptions!$F$28</f>
        <v>0.9702</v>
      </c>
      <c r="AB66" s="36" t="n">
        <f aca="false">AA66</f>
        <v>0.9702</v>
      </c>
      <c r="AC66" s="36" t="n">
        <f aca="false">AB66</f>
        <v>0.9702</v>
      </c>
      <c r="AD66" s="36" t="n">
        <f aca="false">AC66</f>
        <v>0.9702</v>
      </c>
      <c r="AE66" s="36" t="n">
        <f aca="false">AD66</f>
        <v>0.9702</v>
      </c>
      <c r="AF66" s="36" t="n">
        <f aca="false">AE66</f>
        <v>0.9702</v>
      </c>
      <c r="AG66" s="36" t="n">
        <f aca="false">AF66</f>
        <v>0.9702</v>
      </c>
      <c r="AH66" s="36" t="n">
        <f aca="false">AG66</f>
        <v>0.9702</v>
      </c>
      <c r="AI66" s="36" t="n">
        <f aca="false">AH66</f>
        <v>0.9702</v>
      </c>
      <c r="AJ66" s="36" t="n">
        <f aca="false">AI66</f>
        <v>0.9702</v>
      </c>
      <c r="AK66" s="36" t="n">
        <f aca="false">AJ66</f>
        <v>0.9702</v>
      </c>
      <c r="AL66" s="36" t="n">
        <f aca="false">AK66</f>
        <v>0.9702</v>
      </c>
    </row>
    <row r="67" customFormat="false" ht="15" hidden="false" customHeight="false" outlineLevel="0" collapsed="false">
      <c r="A67" s="8" t="s">
        <v>182</v>
      </c>
      <c r="B67" s="14" t="s">
        <v>161</v>
      </c>
      <c r="C67" s="43" t="n">
        <v>0</v>
      </c>
      <c r="D67" s="36" t="n">
        <f aca="false">D16</f>
        <v>2.180134</v>
      </c>
      <c r="E67" s="36" t="n">
        <f aca="false">D67</f>
        <v>2.180134</v>
      </c>
      <c r="F67" s="36" t="n">
        <f aca="false">E67</f>
        <v>2.180134</v>
      </c>
      <c r="G67" s="36" t="n">
        <f aca="false">F67</f>
        <v>2.180134</v>
      </c>
      <c r="H67" s="36" t="n">
        <f aca="false">G67</f>
        <v>2.180134</v>
      </c>
      <c r="I67" s="36" t="n">
        <f aca="false">H67</f>
        <v>2.180134</v>
      </c>
      <c r="J67" s="36" t="n">
        <f aca="false">I67</f>
        <v>2.180134</v>
      </c>
      <c r="K67" s="36" t="n">
        <f aca="false">J67</f>
        <v>2.180134</v>
      </c>
      <c r="L67" s="36" t="n">
        <f aca="false">K67</f>
        <v>2.180134</v>
      </c>
      <c r="M67" s="36" t="n">
        <f aca="false">L67</f>
        <v>2.180134</v>
      </c>
      <c r="N67" s="36" t="n">
        <f aca="false">M67</f>
        <v>2.180134</v>
      </c>
      <c r="O67" s="36" t="n">
        <f aca="false">N67</f>
        <v>2.180134</v>
      </c>
      <c r="P67" s="36" t="n">
        <f aca="false">O67*Assumptions!$F$28</f>
        <v>1.5260938</v>
      </c>
      <c r="Q67" s="36" t="n">
        <f aca="false">P67</f>
        <v>1.5260938</v>
      </c>
      <c r="R67" s="36" t="n">
        <f aca="false">Q67</f>
        <v>1.5260938</v>
      </c>
      <c r="S67" s="36" t="n">
        <f aca="false">R67</f>
        <v>1.5260938</v>
      </c>
      <c r="T67" s="36" t="n">
        <f aca="false">S67</f>
        <v>1.5260938</v>
      </c>
      <c r="U67" s="36" t="n">
        <f aca="false">T67</f>
        <v>1.5260938</v>
      </c>
      <c r="V67" s="36" t="n">
        <f aca="false">U67</f>
        <v>1.5260938</v>
      </c>
      <c r="W67" s="36" t="n">
        <f aca="false">V67</f>
        <v>1.5260938</v>
      </c>
      <c r="X67" s="36" t="n">
        <f aca="false">W67</f>
        <v>1.5260938</v>
      </c>
      <c r="Y67" s="36" t="n">
        <f aca="false">X67</f>
        <v>1.5260938</v>
      </c>
      <c r="Z67" s="36" t="n">
        <f aca="false">Y67</f>
        <v>1.5260938</v>
      </c>
      <c r="AA67" s="36" t="n">
        <f aca="false">Z67</f>
        <v>1.5260938</v>
      </c>
      <c r="AB67" s="36" t="n">
        <f aca="false">AA67*Assumptions!$F$28</f>
        <v>1.06826566</v>
      </c>
      <c r="AC67" s="36" t="n">
        <f aca="false">AB67</f>
        <v>1.06826566</v>
      </c>
      <c r="AD67" s="36" t="n">
        <f aca="false">AC67</f>
        <v>1.06826566</v>
      </c>
      <c r="AE67" s="36" t="n">
        <f aca="false">AD67</f>
        <v>1.06826566</v>
      </c>
      <c r="AF67" s="36" t="n">
        <f aca="false">AE67</f>
        <v>1.06826566</v>
      </c>
      <c r="AG67" s="36" t="n">
        <f aca="false">AF67</f>
        <v>1.06826566</v>
      </c>
      <c r="AH67" s="36" t="n">
        <f aca="false">AG67</f>
        <v>1.06826566</v>
      </c>
      <c r="AI67" s="36" t="n">
        <f aca="false">AH67</f>
        <v>1.06826566</v>
      </c>
      <c r="AJ67" s="36" t="n">
        <f aca="false">AI67</f>
        <v>1.06826566</v>
      </c>
      <c r="AK67" s="36" t="n">
        <f aca="false">AJ67</f>
        <v>1.06826566</v>
      </c>
      <c r="AL67" s="36" t="n">
        <f aca="false">AK67</f>
        <v>1.06826566</v>
      </c>
    </row>
    <row r="68" customFormat="false" ht="15" hidden="false" customHeight="false" outlineLevel="0" collapsed="false">
      <c r="A68" s="8" t="s">
        <v>183</v>
      </c>
      <c r="B68" s="14" t="s">
        <v>161</v>
      </c>
      <c r="C68" s="43" t="n">
        <v>0</v>
      </c>
      <c r="D68" s="43" t="n">
        <v>0</v>
      </c>
      <c r="E68" s="36" t="n">
        <f aca="false">E16</f>
        <v>2.4003268102</v>
      </c>
      <c r="F68" s="36" t="n">
        <f aca="false">E68</f>
        <v>2.4003268102</v>
      </c>
      <c r="G68" s="36" t="n">
        <f aca="false">F68</f>
        <v>2.4003268102</v>
      </c>
      <c r="H68" s="36" t="n">
        <f aca="false">G68</f>
        <v>2.4003268102</v>
      </c>
      <c r="I68" s="36" t="n">
        <f aca="false">H68</f>
        <v>2.4003268102</v>
      </c>
      <c r="J68" s="36" t="n">
        <f aca="false">I68</f>
        <v>2.4003268102</v>
      </c>
      <c r="K68" s="36" t="n">
        <f aca="false">J68</f>
        <v>2.4003268102</v>
      </c>
      <c r="L68" s="36" t="n">
        <f aca="false">K68</f>
        <v>2.4003268102</v>
      </c>
      <c r="M68" s="36" t="n">
        <f aca="false">L68</f>
        <v>2.4003268102</v>
      </c>
      <c r="N68" s="36" t="n">
        <f aca="false">M68</f>
        <v>2.4003268102</v>
      </c>
      <c r="O68" s="36" t="n">
        <f aca="false">N68</f>
        <v>2.4003268102</v>
      </c>
      <c r="P68" s="36" t="n">
        <f aca="false">O68</f>
        <v>2.4003268102</v>
      </c>
      <c r="Q68" s="36" t="n">
        <f aca="false">P68*Assumptions!$F$28</f>
        <v>1.68022876714</v>
      </c>
      <c r="R68" s="36" t="n">
        <f aca="false">Q68</f>
        <v>1.68022876714</v>
      </c>
      <c r="S68" s="36" t="n">
        <f aca="false">R68</f>
        <v>1.68022876714</v>
      </c>
      <c r="T68" s="36" t="n">
        <f aca="false">S68</f>
        <v>1.68022876714</v>
      </c>
      <c r="U68" s="36" t="n">
        <f aca="false">T68</f>
        <v>1.68022876714</v>
      </c>
      <c r="V68" s="36" t="n">
        <f aca="false">U68</f>
        <v>1.68022876714</v>
      </c>
      <c r="W68" s="36" t="n">
        <f aca="false">V68</f>
        <v>1.68022876714</v>
      </c>
      <c r="X68" s="36" t="n">
        <f aca="false">W68</f>
        <v>1.68022876714</v>
      </c>
      <c r="Y68" s="36" t="n">
        <f aca="false">X68</f>
        <v>1.68022876714</v>
      </c>
      <c r="Z68" s="36" t="n">
        <f aca="false">Y68</f>
        <v>1.68022876714</v>
      </c>
      <c r="AA68" s="36" t="n">
        <f aca="false">Z68</f>
        <v>1.68022876714</v>
      </c>
      <c r="AB68" s="36" t="n">
        <f aca="false">AA68</f>
        <v>1.68022876714</v>
      </c>
      <c r="AC68" s="36" t="n">
        <f aca="false">AB68*Assumptions!$F$28</f>
        <v>1.176160136998</v>
      </c>
      <c r="AD68" s="36" t="n">
        <f aca="false">AC68</f>
        <v>1.176160136998</v>
      </c>
      <c r="AE68" s="36" t="n">
        <f aca="false">AD68</f>
        <v>1.176160136998</v>
      </c>
      <c r="AF68" s="36" t="n">
        <f aca="false">AE68</f>
        <v>1.176160136998</v>
      </c>
      <c r="AG68" s="36" t="n">
        <f aca="false">AF68</f>
        <v>1.176160136998</v>
      </c>
      <c r="AH68" s="36" t="n">
        <f aca="false">AG68</f>
        <v>1.176160136998</v>
      </c>
      <c r="AI68" s="36" t="n">
        <f aca="false">AH68</f>
        <v>1.176160136998</v>
      </c>
      <c r="AJ68" s="36" t="n">
        <f aca="false">AI68</f>
        <v>1.176160136998</v>
      </c>
      <c r="AK68" s="36" t="n">
        <f aca="false">AJ68</f>
        <v>1.176160136998</v>
      </c>
      <c r="AL68" s="36" t="n">
        <f aca="false">AK68</f>
        <v>1.176160136998</v>
      </c>
    </row>
    <row r="69" customFormat="false" ht="15" hidden="false" customHeight="false" outlineLevel="0" collapsed="false">
      <c r="A69" s="8" t="s">
        <v>184</v>
      </c>
      <c r="B69" s="14" t="s">
        <v>161</v>
      </c>
      <c r="C69" s="43" t="n">
        <v>0</v>
      </c>
      <c r="D69" s="43" t="n">
        <v>0</v>
      </c>
      <c r="E69" s="43" t="n">
        <v>0</v>
      </c>
      <c r="F69" s="36" t="n">
        <f aca="false">F16</f>
        <v>2.64271558136806</v>
      </c>
      <c r="G69" s="36" t="n">
        <f aca="false">F69</f>
        <v>2.64271558136806</v>
      </c>
      <c r="H69" s="36" t="n">
        <f aca="false">G69</f>
        <v>2.64271558136806</v>
      </c>
      <c r="I69" s="36" t="n">
        <f aca="false">H69</f>
        <v>2.64271558136806</v>
      </c>
      <c r="J69" s="36" t="n">
        <f aca="false">I69</f>
        <v>2.64271558136806</v>
      </c>
      <c r="K69" s="36" t="n">
        <f aca="false">J69</f>
        <v>2.64271558136806</v>
      </c>
      <c r="L69" s="36" t="n">
        <f aca="false">K69</f>
        <v>2.64271558136806</v>
      </c>
      <c r="M69" s="36" t="n">
        <f aca="false">L69</f>
        <v>2.64271558136806</v>
      </c>
      <c r="N69" s="36" t="n">
        <f aca="false">M69</f>
        <v>2.64271558136806</v>
      </c>
      <c r="O69" s="36" t="n">
        <f aca="false">N69</f>
        <v>2.64271558136806</v>
      </c>
      <c r="P69" s="36" t="n">
        <f aca="false">O69</f>
        <v>2.64271558136806</v>
      </c>
      <c r="Q69" s="36" t="n">
        <f aca="false">P69</f>
        <v>2.64271558136806</v>
      </c>
      <c r="R69" s="36" t="n">
        <f aca="false">Q69*Assumptions!$F$28</f>
        <v>1.84990090695764</v>
      </c>
      <c r="S69" s="36" t="n">
        <f aca="false">R69</f>
        <v>1.84990090695764</v>
      </c>
      <c r="T69" s="36" t="n">
        <f aca="false">S69</f>
        <v>1.84990090695764</v>
      </c>
      <c r="U69" s="36" t="n">
        <f aca="false">T69</f>
        <v>1.84990090695764</v>
      </c>
      <c r="V69" s="36" t="n">
        <f aca="false">U69</f>
        <v>1.84990090695764</v>
      </c>
      <c r="W69" s="36" t="n">
        <f aca="false">V69</f>
        <v>1.84990090695764</v>
      </c>
      <c r="X69" s="36" t="n">
        <f aca="false">W69</f>
        <v>1.84990090695764</v>
      </c>
      <c r="Y69" s="36" t="n">
        <f aca="false">X69</f>
        <v>1.84990090695764</v>
      </c>
      <c r="Z69" s="36" t="n">
        <f aca="false">Y69</f>
        <v>1.84990090695764</v>
      </c>
      <c r="AA69" s="36" t="n">
        <f aca="false">Z69</f>
        <v>1.84990090695764</v>
      </c>
      <c r="AB69" s="36" t="n">
        <f aca="false">AA69</f>
        <v>1.84990090695764</v>
      </c>
      <c r="AC69" s="36" t="n">
        <f aca="false">AB69</f>
        <v>1.84990090695764</v>
      </c>
      <c r="AD69" s="36" t="n">
        <f aca="false">AC69*Assumptions!$F$28</f>
        <v>1.29493063487035</v>
      </c>
      <c r="AE69" s="36" t="n">
        <f aca="false">AD69</f>
        <v>1.29493063487035</v>
      </c>
      <c r="AF69" s="36" t="n">
        <f aca="false">AE69</f>
        <v>1.29493063487035</v>
      </c>
      <c r="AG69" s="36" t="n">
        <f aca="false">AF69</f>
        <v>1.29493063487035</v>
      </c>
      <c r="AH69" s="36" t="n">
        <f aca="false">AG69</f>
        <v>1.29493063487035</v>
      </c>
      <c r="AI69" s="36" t="n">
        <f aca="false">AH69</f>
        <v>1.29493063487035</v>
      </c>
      <c r="AJ69" s="36" t="n">
        <f aca="false">AI69</f>
        <v>1.29493063487035</v>
      </c>
      <c r="AK69" s="36" t="n">
        <f aca="false">AJ69</f>
        <v>1.29493063487035</v>
      </c>
      <c r="AL69" s="36" t="n">
        <f aca="false">AK69</f>
        <v>1.29493063487035</v>
      </c>
    </row>
    <row r="70" customFormat="false" ht="15" hidden="false" customHeight="false" outlineLevel="0" collapsed="false">
      <c r="A70" s="8" t="s">
        <v>185</v>
      </c>
      <c r="B70" s="14" t="s">
        <v>161</v>
      </c>
      <c r="C70" s="43" t="n">
        <v>0</v>
      </c>
      <c r="D70" s="43" t="n">
        <v>0</v>
      </c>
      <c r="E70" s="43" t="n">
        <v>0</v>
      </c>
      <c r="F70" s="43" t="n">
        <v>0</v>
      </c>
      <c r="G70" s="36" t="n">
        <f aca="false">G16</f>
        <v>2.90966964535258</v>
      </c>
      <c r="H70" s="36" t="n">
        <f aca="false">G70</f>
        <v>2.90966964535258</v>
      </c>
      <c r="I70" s="36" t="n">
        <f aca="false">H70</f>
        <v>2.90966964535258</v>
      </c>
      <c r="J70" s="36" t="n">
        <f aca="false">I70</f>
        <v>2.90966964535258</v>
      </c>
      <c r="K70" s="36" t="n">
        <f aca="false">J70</f>
        <v>2.90966964535258</v>
      </c>
      <c r="L70" s="36" t="n">
        <f aca="false">K70</f>
        <v>2.90966964535258</v>
      </c>
      <c r="M70" s="36" t="n">
        <f aca="false">L70</f>
        <v>2.90966964535258</v>
      </c>
      <c r="N70" s="36" t="n">
        <f aca="false">M70</f>
        <v>2.90966964535258</v>
      </c>
      <c r="O70" s="36" t="n">
        <f aca="false">N70</f>
        <v>2.90966964535258</v>
      </c>
      <c r="P70" s="36" t="n">
        <f aca="false">O70</f>
        <v>2.90966964535258</v>
      </c>
      <c r="Q70" s="36" t="n">
        <f aca="false">P70</f>
        <v>2.90966964535258</v>
      </c>
      <c r="R70" s="36" t="n">
        <f aca="false">Q70</f>
        <v>2.90966964535258</v>
      </c>
      <c r="S70" s="36" t="n">
        <f aca="false">R70*Assumptions!$F$28</f>
        <v>2.0367687517468</v>
      </c>
      <c r="T70" s="36" t="n">
        <f aca="false">S70</f>
        <v>2.0367687517468</v>
      </c>
      <c r="U70" s="36" t="n">
        <f aca="false">T70</f>
        <v>2.0367687517468</v>
      </c>
      <c r="V70" s="36" t="n">
        <f aca="false">U70</f>
        <v>2.0367687517468</v>
      </c>
      <c r="W70" s="36" t="n">
        <f aca="false">V70</f>
        <v>2.0367687517468</v>
      </c>
      <c r="X70" s="36" t="n">
        <f aca="false">W70</f>
        <v>2.0367687517468</v>
      </c>
      <c r="Y70" s="36" t="n">
        <f aca="false">X70</f>
        <v>2.0367687517468</v>
      </c>
      <c r="Z70" s="36" t="n">
        <f aca="false">Y70</f>
        <v>2.0367687517468</v>
      </c>
      <c r="AA70" s="36" t="n">
        <f aca="false">Z70</f>
        <v>2.0367687517468</v>
      </c>
      <c r="AB70" s="36" t="n">
        <f aca="false">AA70</f>
        <v>2.0367687517468</v>
      </c>
      <c r="AC70" s="36" t="n">
        <f aca="false">AB70</f>
        <v>2.0367687517468</v>
      </c>
      <c r="AD70" s="36" t="n">
        <f aca="false">AC70</f>
        <v>2.0367687517468</v>
      </c>
      <c r="AE70" s="36" t="n">
        <f aca="false">AD70*Assumptions!$F$28</f>
        <v>1.42573812622276</v>
      </c>
      <c r="AF70" s="36" t="n">
        <f aca="false">AE70</f>
        <v>1.42573812622276</v>
      </c>
      <c r="AG70" s="36" t="n">
        <f aca="false">AF70</f>
        <v>1.42573812622276</v>
      </c>
      <c r="AH70" s="36" t="n">
        <f aca="false">AG70</f>
        <v>1.42573812622276</v>
      </c>
      <c r="AI70" s="36" t="n">
        <f aca="false">AH70</f>
        <v>1.42573812622276</v>
      </c>
      <c r="AJ70" s="36" t="n">
        <f aca="false">AI70</f>
        <v>1.42573812622276</v>
      </c>
      <c r="AK70" s="36" t="n">
        <f aca="false">AJ70</f>
        <v>1.42573812622276</v>
      </c>
      <c r="AL70" s="36" t="n">
        <f aca="false">AK70</f>
        <v>1.42573812622276</v>
      </c>
    </row>
    <row r="71" customFormat="false" ht="15" hidden="false" customHeight="false" outlineLevel="0" collapsed="false">
      <c r="A71" s="8" t="s">
        <v>186</v>
      </c>
      <c r="B71" s="14" t="s">
        <v>161</v>
      </c>
      <c r="C71" s="43" t="n">
        <v>0</v>
      </c>
      <c r="D71" s="43" t="n">
        <v>0</v>
      </c>
      <c r="E71" s="43" t="n">
        <v>0</v>
      </c>
      <c r="F71" s="43" t="n">
        <v>0</v>
      </c>
      <c r="G71" s="43" t="n">
        <v>0</v>
      </c>
      <c r="H71" s="36" t="n">
        <f aca="false">H16</f>
        <v>3.20381658871019</v>
      </c>
      <c r="I71" s="36" t="n">
        <f aca="false">H71</f>
        <v>3.20381658871019</v>
      </c>
      <c r="J71" s="36" t="n">
        <f aca="false">I71</f>
        <v>3.20381658871019</v>
      </c>
      <c r="K71" s="36" t="n">
        <f aca="false">J71</f>
        <v>3.20381658871019</v>
      </c>
      <c r="L71" s="36" t="n">
        <f aca="false">K71</f>
        <v>3.20381658871019</v>
      </c>
      <c r="M71" s="36" t="n">
        <f aca="false">L71</f>
        <v>3.20381658871019</v>
      </c>
      <c r="N71" s="36" t="n">
        <f aca="false">M71</f>
        <v>3.20381658871019</v>
      </c>
      <c r="O71" s="36" t="n">
        <f aca="false">N71</f>
        <v>3.20381658871019</v>
      </c>
      <c r="P71" s="36" t="n">
        <f aca="false">O71</f>
        <v>3.20381658871019</v>
      </c>
      <c r="Q71" s="36" t="n">
        <f aca="false">P71</f>
        <v>3.20381658871019</v>
      </c>
      <c r="R71" s="36" t="n">
        <f aca="false">Q71</f>
        <v>3.20381658871019</v>
      </c>
      <c r="S71" s="36" t="n">
        <f aca="false">R71</f>
        <v>3.20381658871019</v>
      </c>
      <c r="T71" s="36" t="n">
        <f aca="false">S71*Assumptions!$F$28</f>
        <v>2.24267161209713</v>
      </c>
      <c r="U71" s="36" t="n">
        <f aca="false">T71</f>
        <v>2.24267161209713</v>
      </c>
      <c r="V71" s="36" t="n">
        <f aca="false">U71</f>
        <v>2.24267161209713</v>
      </c>
      <c r="W71" s="36" t="n">
        <f aca="false">V71</f>
        <v>2.24267161209713</v>
      </c>
      <c r="X71" s="36" t="n">
        <f aca="false">W71</f>
        <v>2.24267161209713</v>
      </c>
      <c r="Y71" s="36" t="n">
        <f aca="false">X71</f>
        <v>2.24267161209713</v>
      </c>
      <c r="Z71" s="36" t="n">
        <f aca="false">Y71</f>
        <v>2.24267161209713</v>
      </c>
      <c r="AA71" s="36" t="n">
        <f aca="false">Z71</f>
        <v>2.24267161209713</v>
      </c>
      <c r="AB71" s="36" t="n">
        <f aca="false">AA71</f>
        <v>2.24267161209713</v>
      </c>
      <c r="AC71" s="36" t="n">
        <f aca="false">AB71</f>
        <v>2.24267161209713</v>
      </c>
      <c r="AD71" s="36" t="n">
        <f aca="false">AC71</f>
        <v>2.24267161209713</v>
      </c>
      <c r="AE71" s="36" t="n">
        <f aca="false">AD71</f>
        <v>2.24267161209713</v>
      </c>
      <c r="AF71" s="36" t="n">
        <f aca="false">AE71*Assumptions!$F$28</f>
        <v>1.56987012846799</v>
      </c>
      <c r="AG71" s="36" t="n">
        <f aca="false">AF71</f>
        <v>1.56987012846799</v>
      </c>
      <c r="AH71" s="36" t="n">
        <f aca="false">AG71</f>
        <v>1.56987012846799</v>
      </c>
      <c r="AI71" s="36" t="n">
        <f aca="false">AH71</f>
        <v>1.56987012846799</v>
      </c>
      <c r="AJ71" s="36" t="n">
        <f aca="false">AI71</f>
        <v>1.56987012846799</v>
      </c>
      <c r="AK71" s="36" t="n">
        <f aca="false">AJ71</f>
        <v>1.56987012846799</v>
      </c>
      <c r="AL71" s="36" t="n">
        <f aca="false">AK71</f>
        <v>1.56987012846799</v>
      </c>
    </row>
    <row r="72" customFormat="false" ht="15" hidden="false" customHeight="false" outlineLevel="0" collapsed="false">
      <c r="A72" s="8" t="s">
        <v>187</v>
      </c>
      <c r="B72" s="14" t="s">
        <v>161</v>
      </c>
      <c r="C72" s="43" t="n">
        <v>0</v>
      </c>
      <c r="D72" s="43" t="n">
        <v>0</v>
      </c>
      <c r="E72" s="43" t="n">
        <v>0</v>
      </c>
      <c r="F72" s="43" t="n">
        <v>0</v>
      </c>
      <c r="G72" s="43" t="n">
        <v>0</v>
      </c>
      <c r="H72" s="43" t="n">
        <v>0</v>
      </c>
      <c r="I72" s="36" t="n">
        <f aca="false">I16</f>
        <v>3.52807130327947</v>
      </c>
      <c r="J72" s="36" t="n">
        <f aca="false">I72</f>
        <v>3.52807130327947</v>
      </c>
      <c r="K72" s="36" t="n">
        <f aca="false">J72</f>
        <v>3.52807130327947</v>
      </c>
      <c r="L72" s="36" t="n">
        <f aca="false">K72</f>
        <v>3.52807130327947</v>
      </c>
      <c r="M72" s="36" t="n">
        <f aca="false">L72</f>
        <v>3.52807130327947</v>
      </c>
      <c r="N72" s="36" t="n">
        <f aca="false">M72</f>
        <v>3.52807130327947</v>
      </c>
      <c r="O72" s="36" t="n">
        <f aca="false">N72</f>
        <v>3.52807130327947</v>
      </c>
      <c r="P72" s="36" t="n">
        <f aca="false">O72</f>
        <v>3.52807130327947</v>
      </c>
      <c r="Q72" s="36" t="n">
        <f aca="false">P72</f>
        <v>3.52807130327947</v>
      </c>
      <c r="R72" s="36" t="n">
        <f aca="false">Q72</f>
        <v>3.52807130327947</v>
      </c>
      <c r="S72" s="36" t="n">
        <f aca="false">R72</f>
        <v>3.52807130327947</v>
      </c>
      <c r="T72" s="36" t="n">
        <f aca="false">S72</f>
        <v>3.52807130327947</v>
      </c>
      <c r="U72" s="36" t="n">
        <f aca="false">T72*Assumptions!$F$28</f>
        <v>2.46964991229563</v>
      </c>
      <c r="V72" s="36" t="n">
        <f aca="false">U72</f>
        <v>2.46964991229563</v>
      </c>
      <c r="W72" s="36" t="n">
        <f aca="false">V72</f>
        <v>2.46964991229563</v>
      </c>
      <c r="X72" s="36" t="n">
        <f aca="false">W72</f>
        <v>2.46964991229563</v>
      </c>
      <c r="Y72" s="36" t="n">
        <f aca="false">X72</f>
        <v>2.46964991229563</v>
      </c>
      <c r="Z72" s="36" t="n">
        <f aca="false">Y72</f>
        <v>2.46964991229563</v>
      </c>
      <c r="AA72" s="36" t="n">
        <f aca="false">Z72</f>
        <v>2.46964991229563</v>
      </c>
      <c r="AB72" s="36" t="n">
        <f aca="false">AA72</f>
        <v>2.46964991229563</v>
      </c>
      <c r="AC72" s="36" t="n">
        <f aca="false">AB72</f>
        <v>2.46964991229563</v>
      </c>
      <c r="AD72" s="36" t="n">
        <f aca="false">AC72</f>
        <v>2.46964991229563</v>
      </c>
      <c r="AE72" s="36" t="n">
        <f aca="false">AD72</f>
        <v>2.46964991229563</v>
      </c>
      <c r="AF72" s="36" t="n">
        <f aca="false">AE72</f>
        <v>2.46964991229563</v>
      </c>
      <c r="AG72" s="36" t="n">
        <f aca="false">AF72*Assumptions!$F$28</f>
        <v>1.72875493860694</v>
      </c>
      <c r="AH72" s="36" t="n">
        <f aca="false">AG72</f>
        <v>1.72875493860694</v>
      </c>
      <c r="AI72" s="36" t="n">
        <f aca="false">AH72</f>
        <v>1.72875493860694</v>
      </c>
      <c r="AJ72" s="36" t="n">
        <f aca="false">AI72</f>
        <v>1.72875493860694</v>
      </c>
      <c r="AK72" s="36" t="n">
        <f aca="false">AJ72</f>
        <v>1.72875493860694</v>
      </c>
      <c r="AL72" s="36" t="n">
        <f aca="false">AK72</f>
        <v>1.72875493860694</v>
      </c>
    </row>
    <row r="73" customFormat="false" ht="15" hidden="false" customHeight="false" outlineLevel="0" collapsed="false">
      <c r="A73" s="8" t="s">
        <v>188</v>
      </c>
      <c r="B73" s="14" t="s">
        <v>161</v>
      </c>
      <c r="C73" s="43" t="n">
        <v>0</v>
      </c>
      <c r="D73" s="43" t="n">
        <v>0</v>
      </c>
      <c r="E73" s="43" t="n">
        <v>0</v>
      </c>
      <c r="F73" s="43" t="n">
        <v>0</v>
      </c>
      <c r="G73" s="43" t="n">
        <v>0</v>
      </c>
      <c r="H73" s="43" t="n">
        <v>0</v>
      </c>
      <c r="I73" s="43" t="n">
        <v>0</v>
      </c>
      <c r="J73" s="36" t="n">
        <f aca="false">J16</f>
        <v>3.88566835929002</v>
      </c>
      <c r="K73" s="36" t="n">
        <f aca="false">J73</f>
        <v>3.88566835929002</v>
      </c>
      <c r="L73" s="36" t="n">
        <f aca="false">K73</f>
        <v>3.88566835929002</v>
      </c>
      <c r="M73" s="36" t="n">
        <f aca="false">L73</f>
        <v>3.88566835929002</v>
      </c>
      <c r="N73" s="36" t="n">
        <f aca="false">M73</f>
        <v>3.88566835929002</v>
      </c>
      <c r="O73" s="36" t="n">
        <f aca="false">N73</f>
        <v>3.88566835929002</v>
      </c>
      <c r="P73" s="36" t="n">
        <f aca="false">O73</f>
        <v>3.88566835929002</v>
      </c>
      <c r="Q73" s="36" t="n">
        <f aca="false">P73</f>
        <v>3.88566835929002</v>
      </c>
      <c r="R73" s="36" t="n">
        <f aca="false">Q73</f>
        <v>3.88566835929002</v>
      </c>
      <c r="S73" s="36" t="n">
        <f aca="false">R73</f>
        <v>3.88566835929002</v>
      </c>
      <c r="T73" s="36" t="n">
        <f aca="false">S73</f>
        <v>3.88566835929002</v>
      </c>
      <c r="U73" s="36" t="n">
        <f aca="false">T73</f>
        <v>3.88566835929002</v>
      </c>
      <c r="V73" s="36" t="n">
        <f aca="false">U73*Assumptions!$F$28</f>
        <v>2.71996785150301</v>
      </c>
      <c r="W73" s="36" t="n">
        <f aca="false">V73</f>
        <v>2.71996785150301</v>
      </c>
      <c r="X73" s="36" t="n">
        <f aca="false">W73</f>
        <v>2.71996785150301</v>
      </c>
      <c r="Y73" s="36" t="n">
        <f aca="false">X73</f>
        <v>2.71996785150301</v>
      </c>
      <c r="Z73" s="36" t="n">
        <f aca="false">Y73</f>
        <v>2.71996785150301</v>
      </c>
      <c r="AA73" s="36" t="n">
        <f aca="false">Z73</f>
        <v>2.71996785150301</v>
      </c>
      <c r="AB73" s="36" t="n">
        <f aca="false">AA73</f>
        <v>2.71996785150301</v>
      </c>
      <c r="AC73" s="36" t="n">
        <f aca="false">AB73</f>
        <v>2.71996785150301</v>
      </c>
      <c r="AD73" s="36" t="n">
        <f aca="false">AC73</f>
        <v>2.71996785150301</v>
      </c>
      <c r="AE73" s="36" t="n">
        <f aca="false">AD73</f>
        <v>2.71996785150301</v>
      </c>
      <c r="AF73" s="36" t="n">
        <f aca="false">AE73</f>
        <v>2.71996785150301</v>
      </c>
      <c r="AG73" s="36" t="n">
        <f aca="false">AF73</f>
        <v>2.71996785150301</v>
      </c>
      <c r="AH73" s="36" t="n">
        <f aca="false">AG73*Assumptions!$F$28</f>
        <v>1.90397749605211</v>
      </c>
      <c r="AI73" s="36" t="n">
        <f aca="false">AH73</f>
        <v>1.90397749605211</v>
      </c>
      <c r="AJ73" s="36" t="n">
        <f aca="false">AI73</f>
        <v>1.90397749605211</v>
      </c>
      <c r="AK73" s="36" t="n">
        <f aca="false">AJ73</f>
        <v>1.90397749605211</v>
      </c>
      <c r="AL73" s="36" t="n">
        <f aca="false">AK73</f>
        <v>1.90397749605211</v>
      </c>
    </row>
    <row r="74" customFormat="false" ht="15" hidden="false" customHeight="false" outlineLevel="0" collapsed="false">
      <c r="A74" s="8" t="s">
        <v>189</v>
      </c>
      <c r="B74" s="14" t="s">
        <v>161</v>
      </c>
      <c r="C74" s="43" t="n">
        <v>0</v>
      </c>
      <c r="D74" s="43" t="n">
        <v>0</v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36" t="n">
        <f aca="false">K16</f>
        <v>4.28019808710703</v>
      </c>
      <c r="L74" s="36" t="n">
        <f aca="false">K74</f>
        <v>4.28019808710703</v>
      </c>
      <c r="M74" s="36" t="n">
        <f aca="false">L74</f>
        <v>4.28019808710703</v>
      </c>
      <c r="N74" s="36" t="n">
        <f aca="false">M74</f>
        <v>4.28019808710703</v>
      </c>
      <c r="O74" s="36" t="n">
        <f aca="false">N74</f>
        <v>4.28019808710703</v>
      </c>
      <c r="P74" s="36" t="n">
        <f aca="false">O74</f>
        <v>4.28019808710703</v>
      </c>
      <c r="Q74" s="36" t="n">
        <f aca="false">P74</f>
        <v>4.28019808710703</v>
      </c>
      <c r="R74" s="36" t="n">
        <f aca="false">Q74</f>
        <v>4.28019808710703</v>
      </c>
      <c r="S74" s="36" t="n">
        <f aca="false">R74</f>
        <v>4.28019808710703</v>
      </c>
      <c r="T74" s="36" t="n">
        <f aca="false">S74</f>
        <v>4.28019808710703</v>
      </c>
      <c r="U74" s="36" t="n">
        <f aca="false">T74</f>
        <v>4.28019808710703</v>
      </c>
      <c r="V74" s="36" t="n">
        <f aca="false">U74</f>
        <v>4.28019808710703</v>
      </c>
      <c r="W74" s="36" t="n">
        <f aca="false">V74*Assumptions!$F$28</f>
        <v>2.99613866097492</v>
      </c>
      <c r="X74" s="36" t="n">
        <f aca="false">W74</f>
        <v>2.99613866097492</v>
      </c>
      <c r="Y74" s="36" t="n">
        <f aca="false">X74</f>
        <v>2.99613866097492</v>
      </c>
      <c r="Z74" s="36" t="n">
        <f aca="false">Y74</f>
        <v>2.99613866097492</v>
      </c>
      <c r="AA74" s="36" t="n">
        <f aca="false">Z74</f>
        <v>2.99613866097492</v>
      </c>
      <c r="AB74" s="36" t="n">
        <f aca="false">AA74</f>
        <v>2.99613866097492</v>
      </c>
      <c r="AC74" s="36" t="n">
        <f aca="false">AB74</f>
        <v>2.99613866097492</v>
      </c>
      <c r="AD74" s="36" t="n">
        <f aca="false">AC74</f>
        <v>2.99613866097492</v>
      </c>
      <c r="AE74" s="36" t="n">
        <f aca="false">AD74</f>
        <v>2.99613866097492</v>
      </c>
      <c r="AF74" s="36" t="n">
        <f aca="false">AE74</f>
        <v>2.99613866097492</v>
      </c>
      <c r="AG74" s="36" t="n">
        <f aca="false">AF74</f>
        <v>2.99613866097492</v>
      </c>
      <c r="AH74" s="36" t="n">
        <f aca="false">AG74</f>
        <v>2.99613866097492</v>
      </c>
      <c r="AI74" s="36" t="n">
        <f aca="false">AH74*Assumptions!$F$28</f>
        <v>2.09729706268244</v>
      </c>
      <c r="AJ74" s="36" t="n">
        <f aca="false">AI74</f>
        <v>2.09729706268244</v>
      </c>
      <c r="AK74" s="36" t="n">
        <f aca="false">AJ74</f>
        <v>2.09729706268244</v>
      </c>
      <c r="AL74" s="36" t="n">
        <f aca="false">AK74</f>
        <v>2.09729706268244</v>
      </c>
    </row>
    <row r="75" customFormat="false" ht="15" hidden="false" customHeight="false" outlineLevel="0" collapsed="false">
      <c r="A75" s="8" t="s">
        <v>190</v>
      </c>
      <c r="B75" s="14" t="s">
        <v>161</v>
      </c>
      <c r="C75" s="43" t="n">
        <v>0</v>
      </c>
      <c r="D75" s="43" t="n">
        <v>0</v>
      </c>
      <c r="E75" s="43" t="n">
        <v>0</v>
      </c>
      <c r="F75" s="43" t="n">
        <v>0</v>
      </c>
      <c r="G75" s="43" t="n">
        <v>0</v>
      </c>
      <c r="H75" s="43" t="n">
        <v>0</v>
      </c>
      <c r="I75" s="43" t="n">
        <v>0</v>
      </c>
      <c r="J75" s="43" t="n">
        <v>0</v>
      </c>
      <c r="K75" s="43" t="n">
        <v>0</v>
      </c>
      <c r="L75" s="36" t="n">
        <f aca="false">L16</f>
        <v>4.71564679900718</v>
      </c>
      <c r="M75" s="36" t="n">
        <f aca="false">L75</f>
        <v>4.71564679900718</v>
      </c>
      <c r="N75" s="36" t="n">
        <f aca="false">M75</f>
        <v>4.71564679900718</v>
      </c>
      <c r="O75" s="36" t="n">
        <f aca="false">N75</f>
        <v>4.71564679900718</v>
      </c>
      <c r="P75" s="36" t="n">
        <f aca="false">O75</f>
        <v>4.71564679900718</v>
      </c>
      <c r="Q75" s="36" t="n">
        <f aca="false">P75</f>
        <v>4.71564679900718</v>
      </c>
      <c r="R75" s="36" t="n">
        <f aca="false">Q75</f>
        <v>4.71564679900718</v>
      </c>
      <c r="S75" s="36" t="n">
        <f aca="false">R75</f>
        <v>4.71564679900718</v>
      </c>
      <c r="T75" s="36" t="n">
        <f aca="false">S75</f>
        <v>4.71564679900718</v>
      </c>
      <c r="U75" s="36" t="n">
        <f aca="false">T75</f>
        <v>4.71564679900718</v>
      </c>
      <c r="V75" s="36" t="n">
        <f aca="false">U75</f>
        <v>4.71564679900718</v>
      </c>
      <c r="W75" s="36" t="n">
        <f aca="false">V75</f>
        <v>4.71564679900718</v>
      </c>
      <c r="X75" s="36" t="n">
        <f aca="false">W75*Assumptions!$F$28</f>
        <v>3.30095275930503</v>
      </c>
      <c r="Y75" s="36" t="n">
        <f aca="false">X75</f>
        <v>3.30095275930503</v>
      </c>
      <c r="Z75" s="36" t="n">
        <f aca="false">Y75</f>
        <v>3.30095275930503</v>
      </c>
      <c r="AA75" s="36" t="n">
        <f aca="false">Z75</f>
        <v>3.30095275930503</v>
      </c>
      <c r="AB75" s="36" t="n">
        <f aca="false">AA75</f>
        <v>3.30095275930503</v>
      </c>
      <c r="AC75" s="36" t="n">
        <f aca="false">AB75</f>
        <v>3.30095275930503</v>
      </c>
      <c r="AD75" s="36" t="n">
        <f aca="false">AC75</f>
        <v>3.30095275930503</v>
      </c>
      <c r="AE75" s="36" t="n">
        <f aca="false">AD75</f>
        <v>3.30095275930503</v>
      </c>
      <c r="AF75" s="36" t="n">
        <f aca="false">AE75</f>
        <v>3.30095275930503</v>
      </c>
      <c r="AG75" s="36" t="n">
        <f aca="false">AF75</f>
        <v>3.30095275930503</v>
      </c>
      <c r="AH75" s="36" t="n">
        <f aca="false">AG75</f>
        <v>3.30095275930503</v>
      </c>
      <c r="AI75" s="36" t="n">
        <f aca="false">AH75</f>
        <v>3.30095275930503</v>
      </c>
      <c r="AJ75" s="36" t="n">
        <f aca="false">AI75*Assumptions!$F$28</f>
        <v>2.31066693151352</v>
      </c>
      <c r="AK75" s="36" t="n">
        <f aca="false">AJ75</f>
        <v>2.31066693151352</v>
      </c>
      <c r="AL75" s="36" t="n">
        <f aca="false">AK75</f>
        <v>2.31066693151352</v>
      </c>
    </row>
    <row r="76" customFormat="false" ht="15" hidden="false" customHeight="false" outlineLevel="0" collapsed="false">
      <c r="A76" s="8" t="s">
        <v>191</v>
      </c>
      <c r="B76" s="14" t="s">
        <v>161</v>
      </c>
      <c r="C76" s="43" t="n">
        <v>0</v>
      </c>
      <c r="D76" s="43" t="n">
        <v>0</v>
      </c>
      <c r="E76" s="43" t="n">
        <v>0</v>
      </c>
      <c r="F76" s="43" t="n">
        <v>0</v>
      </c>
      <c r="G76" s="43" t="n">
        <v>0</v>
      </c>
      <c r="H76" s="43" t="n">
        <v>0</v>
      </c>
      <c r="I76" s="43" t="n">
        <v>0</v>
      </c>
      <c r="J76" s="43" t="n">
        <v>0</v>
      </c>
      <c r="K76" s="43" t="n">
        <v>0</v>
      </c>
      <c r="L76" s="43" t="n">
        <v>0</v>
      </c>
      <c r="M76" s="36" t="n">
        <f aca="false">M16</f>
        <v>5.19644163303253</v>
      </c>
      <c r="N76" s="36" t="n">
        <f aca="false">M76</f>
        <v>5.19644163303253</v>
      </c>
      <c r="O76" s="36" t="n">
        <f aca="false">N76</f>
        <v>5.19644163303253</v>
      </c>
      <c r="P76" s="36" t="n">
        <f aca="false">O76</f>
        <v>5.19644163303253</v>
      </c>
      <c r="Q76" s="36" t="n">
        <f aca="false">P76</f>
        <v>5.19644163303253</v>
      </c>
      <c r="R76" s="36" t="n">
        <f aca="false">Q76</f>
        <v>5.19644163303253</v>
      </c>
      <c r="S76" s="36" t="n">
        <f aca="false">R76</f>
        <v>5.19644163303253</v>
      </c>
      <c r="T76" s="36" t="n">
        <f aca="false">S76</f>
        <v>5.19644163303253</v>
      </c>
      <c r="U76" s="36" t="n">
        <f aca="false">T76</f>
        <v>5.19644163303253</v>
      </c>
      <c r="V76" s="36" t="n">
        <f aca="false">U76</f>
        <v>5.19644163303253</v>
      </c>
      <c r="W76" s="36" t="n">
        <f aca="false">V76</f>
        <v>5.19644163303253</v>
      </c>
      <c r="X76" s="36" t="n">
        <f aca="false">W76</f>
        <v>5.19644163303253</v>
      </c>
      <c r="Y76" s="36" t="n">
        <f aca="false">X76*Assumptions!$F$28</f>
        <v>3.63750914312277</v>
      </c>
      <c r="Z76" s="36" t="n">
        <f aca="false">Y76</f>
        <v>3.63750914312277</v>
      </c>
      <c r="AA76" s="36" t="n">
        <f aca="false">Z76</f>
        <v>3.63750914312277</v>
      </c>
      <c r="AB76" s="36" t="n">
        <f aca="false">AA76</f>
        <v>3.63750914312277</v>
      </c>
      <c r="AC76" s="36" t="n">
        <f aca="false">AB76</f>
        <v>3.63750914312277</v>
      </c>
      <c r="AD76" s="36" t="n">
        <f aca="false">AC76</f>
        <v>3.63750914312277</v>
      </c>
      <c r="AE76" s="36" t="n">
        <f aca="false">AD76</f>
        <v>3.63750914312277</v>
      </c>
      <c r="AF76" s="36" t="n">
        <f aca="false">AE76</f>
        <v>3.63750914312277</v>
      </c>
      <c r="AG76" s="36" t="n">
        <f aca="false">AF76</f>
        <v>3.63750914312277</v>
      </c>
      <c r="AH76" s="36" t="n">
        <f aca="false">AG76</f>
        <v>3.63750914312277</v>
      </c>
      <c r="AI76" s="36" t="n">
        <f aca="false">AH76</f>
        <v>3.63750914312277</v>
      </c>
      <c r="AJ76" s="36" t="n">
        <f aca="false">AI76</f>
        <v>3.63750914312277</v>
      </c>
      <c r="AK76" s="36" t="n">
        <f aca="false">AJ76*Assumptions!$F$28</f>
        <v>2.54625640018594</v>
      </c>
      <c r="AL76" s="36" t="n">
        <f aca="false">AK76</f>
        <v>2.54625640018594</v>
      </c>
    </row>
    <row r="77" customFormat="false" ht="15" hidden="false" customHeight="false" outlineLevel="0" collapsed="false">
      <c r="A77" s="8" t="s">
        <v>192</v>
      </c>
      <c r="B77" s="14" t="s">
        <v>161</v>
      </c>
      <c r="C77" s="43" t="n">
        <v>0</v>
      </c>
      <c r="D77" s="43" t="n">
        <v>0</v>
      </c>
      <c r="E77" s="43" t="n">
        <v>0</v>
      </c>
      <c r="F77" s="43" t="n">
        <v>0</v>
      </c>
      <c r="G77" s="43" t="n">
        <v>0</v>
      </c>
      <c r="H77" s="43" t="n">
        <v>0</v>
      </c>
      <c r="I77" s="43" t="n">
        <v>0</v>
      </c>
      <c r="J77" s="43" t="n">
        <v>0</v>
      </c>
      <c r="K77" s="43" t="n">
        <v>0</v>
      </c>
      <c r="L77" s="43" t="n">
        <v>0</v>
      </c>
      <c r="M77" s="43" t="n">
        <v>0</v>
      </c>
      <c r="N77" s="36" t="n">
        <f aca="false">N16</f>
        <v>5.72750055760942</v>
      </c>
      <c r="O77" s="36" t="n">
        <f aca="false">N77</f>
        <v>5.72750055760942</v>
      </c>
      <c r="P77" s="36" t="n">
        <f aca="false">O77</f>
        <v>5.72750055760942</v>
      </c>
      <c r="Q77" s="36" t="n">
        <f aca="false">P77</f>
        <v>5.72750055760942</v>
      </c>
      <c r="R77" s="36" t="n">
        <f aca="false">Q77</f>
        <v>5.72750055760942</v>
      </c>
      <c r="S77" s="36" t="n">
        <f aca="false">R77</f>
        <v>5.72750055760942</v>
      </c>
      <c r="T77" s="36" t="n">
        <f aca="false">S77</f>
        <v>5.72750055760942</v>
      </c>
      <c r="U77" s="36" t="n">
        <f aca="false">T77</f>
        <v>5.72750055760942</v>
      </c>
      <c r="V77" s="36" t="n">
        <f aca="false">U77</f>
        <v>5.72750055760942</v>
      </c>
      <c r="W77" s="36" t="n">
        <f aca="false">V77</f>
        <v>5.72750055760942</v>
      </c>
      <c r="X77" s="36" t="n">
        <f aca="false">W77</f>
        <v>5.72750055760942</v>
      </c>
      <c r="Y77" s="36" t="n">
        <f aca="false">X77</f>
        <v>5.72750055760942</v>
      </c>
      <c r="Z77" s="36" t="n">
        <f aca="false">Y77*Assumptions!$F$28</f>
        <v>4.0092503903266</v>
      </c>
      <c r="AA77" s="36" t="n">
        <f aca="false">Z77</f>
        <v>4.0092503903266</v>
      </c>
      <c r="AB77" s="36" t="n">
        <f aca="false">AA77</f>
        <v>4.0092503903266</v>
      </c>
      <c r="AC77" s="36" t="n">
        <f aca="false">AB77</f>
        <v>4.0092503903266</v>
      </c>
      <c r="AD77" s="36" t="n">
        <f aca="false">AC77</f>
        <v>4.0092503903266</v>
      </c>
      <c r="AE77" s="36" t="n">
        <f aca="false">AD77</f>
        <v>4.0092503903266</v>
      </c>
      <c r="AF77" s="36" t="n">
        <f aca="false">AE77</f>
        <v>4.0092503903266</v>
      </c>
      <c r="AG77" s="36" t="n">
        <f aca="false">AF77</f>
        <v>4.0092503903266</v>
      </c>
      <c r="AH77" s="36" t="n">
        <f aca="false">AG77</f>
        <v>4.0092503903266</v>
      </c>
      <c r="AI77" s="36" t="n">
        <f aca="false">AH77</f>
        <v>4.0092503903266</v>
      </c>
      <c r="AJ77" s="36" t="n">
        <f aca="false">AI77</f>
        <v>4.0092503903266</v>
      </c>
      <c r="AK77" s="36" t="n">
        <f aca="false">AJ77</f>
        <v>4.0092503903266</v>
      </c>
      <c r="AL77" s="36" t="n">
        <f aca="false">AK77*Assumptions!$F$28</f>
        <v>2.80647527322862</v>
      </c>
    </row>
    <row r="78" customFormat="false" ht="15" hidden="false" customHeight="false" outlineLevel="0" collapsed="false">
      <c r="A78" s="8" t="s">
        <v>193</v>
      </c>
      <c r="B78" s="14" t="s">
        <v>161</v>
      </c>
      <c r="C78" s="43" t="n">
        <v>0</v>
      </c>
      <c r="D78" s="43" t="n">
        <v>0</v>
      </c>
      <c r="E78" s="43" t="n">
        <v>0</v>
      </c>
      <c r="F78" s="43" t="n">
        <v>0</v>
      </c>
      <c r="G78" s="43" t="n">
        <v>0</v>
      </c>
      <c r="H78" s="43" t="n">
        <v>0</v>
      </c>
      <c r="I78" s="43" t="n">
        <v>0</v>
      </c>
      <c r="J78" s="43" t="n">
        <v>0</v>
      </c>
      <c r="K78" s="43" t="n">
        <v>0</v>
      </c>
      <c r="L78" s="43" t="n">
        <v>0</v>
      </c>
      <c r="M78" s="43" t="n">
        <v>0</v>
      </c>
      <c r="N78" s="43" t="n">
        <v>0</v>
      </c>
      <c r="O78" s="36" t="n">
        <f aca="false">O16</f>
        <v>6.31428813896208</v>
      </c>
      <c r="P78" s="36" t="n">
        <f aca="false">O78</f>
        <v>6.31428813896208</v>
      </c>
      <c r="Q78" s="36" t="n">
        <f aca="false">P78</f>
        <v>6.31428813896208</v>
      </c>
      <c r="R78" s="36" t="n">
        <f aca="false">Q78</f>
        <v>6.31428813896208</v>
      </c>
      <c r="S78" s="36" t="n">
        <f aca="false">R78</f>
        <v>6.31428813896208</v>
      </c>
      <c r="T78" s="36" t="n">
        <f aca="false">S78</f>
        <v>6.31428813896208</v>
      </c>
      <c r="U78" s="36" t="n">
        <f aca="false">T78</f>
        <v>6.31428813896208</v>
      </c>
      <c r="V78" s="36" t="n">
        <f aca="false">U78</f>
        <v>6.31428813896208</v>
      </c>
      <c r="W78" s="36" t="n">
        <f aca="false">V78</f>
        <v>6.31428813896208</v>
      </c>
      <c r="X78" s="36" t="n">
        <f aca="false">W78</f>
        <v>6.31428813896208</v>
      </c>
      <c r="Y78" s="36" t="n">
        <f aca="false">X78</f>
        <v>6.31428813896208</v>
      </c>
      <c r="Z78" s="36" t="n">
        <f aca="false">Y78</f>
        <v>6.31428813896208</v>
      </c>
      <c r="AA78" s="36" t="n">
        <f aca="false">Z78*Assumptions!$F$28</f>
        <v>4.42000169727345</v>
      </c>
      <c r="AB78" s="36" t="n">
        <f aca="false">AA78</f>
        <v>4.42000169727345</v>
      </c>
      <c r="AC78" s="36" t="n">
        <f aca="false">AB78</f>
        <v>4.42000169727345</v>
      </c>
      <c r="AD78" s="36" t="n">
        <f aca="false">AC78</f>
        <v>4.42000169727345</v>
      </c>
      <c r="AE78" s="36" t="n">
        <f aca="false">AD78</f>
        <v>4.42000169727345</v>
      </c>
      <c r="AF78" s="36" t="n">
        <f aca="false">AE78</f>
        <v>4.42000169727345</v>
      </c>
      <c r="AG78" s="36" t="n">
        <f aca="false">AF78</f>
        <v>4.42000169727345</v>
      </c>
      <c r="AH78" s="36" t="n">
        <f aca="false">AG78</f>
        <v>4.42000169727345</v>
      </c>
      <c r="AI78" s="36" t="n">
        <f aca="false">AH78</f>
        <v>4.42000169727345</v>
      </c>
      <c r="AJ78" s="36" t="n">
        <f aca="false">AI78</f>
        <v>4.42000169727345</v>
      </c>
      <c r="AK78" s="36" t="n">
        <f aca="false">AJ78</f>
        <v>4.42000169727345</v>
      </c>
      <c r="AL78" s="36" t="n">
        <f aca="false">AK78</f>
        <v>4.42000169727345</v>
      </c>
    </row>
    <row r="79" customFormat="false" ht="15" hidden="false" customHeight="false" outlineLevel="0" collapsed="false">
      <c r="A79" s="8" t="s">
        <v>194</v>
      </c>
      <c r="B79" s="14" t="s">
        <v>161</v>
      </c>
      <c r="C79" s="43" t="n">
        <v>0</v>
      </c>
      <c r="D79" s="43" t="n">
        <v>0</v>
      </c>
      <c r="E79" s="43" t="n">
        <v>0</v>
      </c>
      <c r="F79" s="43" t="n">
        <v>0</v>
      </c>
      <c r="G79" s="43" t="n">
        <v>0</v>
      </c>
      <c r="H79" s="43" t="n">
        <v>0</v>
      </c>
      <c r="I79" s="43" t="n">
        <v>0</v>
      </c>
      <c r="J79" s="43" t="n">
        <v>0</v>
      </c>
      <c r="K79" s="43" t="n">
        <v>0</v>
      </c>
      <c r="L79" s="43" t="n">
        <v>0</v>
      </c>
      <c r="M79" s="43" t="n">
        <v>0</v>
      </c>
      <c r="N79" s="43" t="n">
        <v>0</v>
      </c>
      <c r="O79" s="43" t="n">
        <v>0</v>
      </c>
      <c r="P79" s="36" t="n">
        <f aca="false">P16</f>
        <v>6.96248570419135</v>
      </c>
      <c r="Q79" s="36" t="n">
        <f aca="false">P79</f>
        <v>6.96248570419135</v>
      </c>
      <c r="R79" s="36" t="n">
        <f aca="false">Q79</f>
        <v>6.96248570419135</v>
      </c>
      <c r="S79" s="36" t="n">
        <f aca="false">R79</f>
        <v>6.96248570419135</v>
      </c>
      <c r="T79" s="36" t="n">
        <f aca="false">S79</f>
        <v>6.96248570419135</v>
      </c>
      <c r="U79" s="36" t="n">
        <f aca="false">T79</f>
        <v>6.96248570419135</v>
      </c>
      <c r="V79" s="36" t="n">
        <f aca="false">U79</f>
        <v>6.96248570419135</v>
      </c>
      <c r="W79" s="36" t="n">
        <f aca="false">V79</f>
        <v>6.96248570419135</v>
      </c>
      <c r="X79" s="36" t="n">
        <f aca="false">W79</f>
        <v>6.96248570419135</v>
      </c>
      <c r="Y79" s="36" t="n">
        <f aca="false">X79</f>
        <v>6.96248570419135</v>
      </c>
      <c r="Z79" s="36" t="n">
        <f aca="false">Y79</f>
        <v>6.96248570419135</v>
      </c>
      <c r="AA79" s="36" t="n">
        <f aca="false">Z79</f>
        <v>6.96248570419135</v>
      </c>
      <c r="AB79" s="36" t="n">
        <f aca="false">AA79*Assumptions!$F$28</f>
        <v>4.87373999293394</v>
      </c>
      <c r="AC79" s="36" t="n">
        <f aca="false">AB79</f>
        <v>4.87373999293394</v>
      </c>
      <c r="AD79" s="36" t="n">
        <f aca="false">AC79</f>
        <v>4.87373999293394</v>
      </c>
      <c r="AE79" s="36" t="n">
        <f aca="false">AD79</f>
        <v>4.87373999293394</v>
      </c>
      <c r="AF79" s="36" t="n">
        <f aca="false">AE79</f>
        <v>4.87373999293394</v>
      </c>
      <c r="AG79" s="36" t="n">
        <f aca="false">AF79</f>
        <v>4.87373999293394</v>
      </c>
      <c r="AH79" s="36" t="n">
        <f aca="false">AG79</f>
        <v>4.87373999293394</v>
      </c>
      <c r="AI79" s="36" t="n">
        <f aca="false">AH79</f>
        <v>4.87373999293394</v>
      </c>
      <c r="AJ79" s="36" t="n">
        <f aca="false">AI79</f>
        <v>4.87373999293394</v>
      </c>
      <c r="AK79" s="36" t="n">
        <f aca="false">AJ79</f>
        <v>4.87373999293394</v>
      </c>
      <c r="AL79" s="36" t="n">
        <f aca="false">AK79</f>
        <v>4.87373999293394</v>
      </c>
    </row>
    <row r="80" customFormat="false" ht="15" hidden="false" customHeight="false" outlineLevel="0" collapsed="false">
      <c r="A80" s="8" t="s">
        <v>195</v>
      </c>
      <c r="B80" s="14" t="s">
        <v>161</v>
      </c>
      <c r="C80" s="43" t="n">
        <v>0</v>
      </c>
      <c r="D80" s="43" t="n">
        <v>0</v>
      </c>
      <c r="E80" s="43" t="n">
        <v>0</v>
      </c>
      <c r="F80" s="43" t="n">
        <v>0</v>
      </c>
      <c r="G80" s="43" t="n">
        <v>0</v>
      </c>
      <c r="H80" s="43" t="n">
        <v>0</v>
      </c>
      <c r="I80" s="43" t="n">
        <v>0</v>
      </c>
      <c r="J80" s="43" t="n">
        <v>0</v>
      </c>
      <c r="K80" s="43" t="n">
        <v>0</v>
      </c>
      <c r="L80" s="43" t="n">
        <v>0</v>
      </c>
      <c r="M80" s="43" t="n">
        <v>0</v>
      </c>
      <c r="N80" s="43" t="n">
        <v>0</v>
      </c>
      <c r="O80" s="43" t="n">
        <v>0</v>
      </c>
      <c r="P80" s="43" t="n">
        <v>0</v>
      </c>
      <c r="Q80" s="36" t="n">
        <f aca="false">Q16</f>
        <v>7.67919593185596</v>
      </c>
      <c r="R80" s="36" t="n">
        <f aca="false">Q80</f>
        <v>7.67919593185596</v>
      </c>
      <c r="S80" s="36" t="n">
        <f aca="false">R80</f>
        <v>7.67919593185596</v>
      </c>
      <c r="T80" s="36" t="n">
        <f aca="false">S80</f>
        <v>7.67919593185596</v>
      </c>
      <c r="U80" s="36" t="n">
        <f aca="false">T80</f>
        <v>7.67919593185596</v>
      </c>
      <c r="V80" s="36" t="n">
        <f aca="false">U80</f>
        <v>7.67919593185596</v>
      </c>
      <c r="W80" s="36" t="n">
        <f aca="false">V80</f>
        <v>7.67919593185596</v>
      </c>
      <c r="X80" s="36" t="n">
        <f aca="false">W80</f>
        <v>7.67919593185596</v>
      </c>
      <c r="Y80" s="36" t="n">
        <f aca="false">X80</f>
        <v>7.67919593185596</v>
      </c>
      <c r="Z80" s="36" t="n">
        <f aca="false">Y80</f>
        <v>7.67919593185596</v>
      </c>
      <c r="AA80" s="36" t="n">
        <f aca="false">Z80</f>
        <v>7.67919593185596</v>
      </c>
      <c r="AB80" s="36" t="n">
        <f aca="false">AA80</f>
        <v>7.67919593185596</v>
      </c>
      <c r="AC80" s="36" t="n">
        <f aca="false">AB80*Assumptions!$F$28</f>
        <v>5.37543715229917</v>
      </c>
      <c r="AD80" s="36" t="n">
        <f aca="false">AC80</f>
        <v>5.37543715229917</v>
      </c>
      <c r="AE80" s="36" t="n">
        <f aca="false">AD80</f>
        <v>5.37543715229917</v>
      </c>
      <c r="AF80" s="36" t="n">
        <f aca="false">AE80</f>
        <v>5.37543715229917</v>
      </c>
      <c r="AG80" s="36" t="n">
        <f aca="false">AF80</f>
        <v>5.37543715229917</v>
      </c>
      <c r="AH80" s="36" t="n">
        <f aca="false">AG80</f>
        <v>5.37543715229917</v>
      </c>
      <c r="AI80" s="36" t="n">
        <f aca="false">AH80</f>
        <v>5.37543715229917</v>
      </c>
      <c r="AJ80" s="36" t="n">
        <f aca="false">AI80</f>
        <v>5.37543715229917</v>
      </c>
      <c r="AK80" s="36" t="n">
        <f aca="false">AJ80</f>
        <v>5.37543715229917</v>
      </c>
      <c r="AL80" s="36" t="n">
        <f aca="false">AK80</f>
        <v>5.37543715229917</v>
      </c>
    </row>
    <row r="81" customFormat="false" ht="15" hidden="false" customHeight="false" outlineLevel="0" collapsed="false">
      <c r="A81" s="8" t="s">
        <v>196</v>
      </c>
      <c r="B81" s="14" t="s">
        <v>161</v>
      </c>
      <c r="C81" s="43" t="n">
        <v>0</v>
      </c>
      <c r="D81" s="43" t="n">
        <v>0</v>
      </c>
      <c r="E81" s="43" t="n">
        <v>0</v>
      </c>
      <c r="F81" s="43" t="n">
        <v>0</v>
      </c>
      <c r="G81" s="43" t="n">
        <v>0</v>
      </c>
      <c r="H81" s="43" t="n">
        <v>0</v>
      </c>
      <c r="I81" s="43" t="n">
        <v>0</v>
      </c>
      <c r="J81" s="43" t="n">
        <v>0</v>
      </c>
      <c r="K81" s="43" t="n">
        <v>0</v>
      </c>
      <c r="L81" s="43" t="n">
        <v>0</v>
      </c>
      <c r="M81" s="43" t="n">
        <v>0</v>
      </c>
      <c r="N81" s="43" t="n">
        <v>0</v>
      </c>
      <c r="O81" s="43" t="n">
        <v>0</v>
      </c>
      <c r="P81" s="43" t="n">
        <v>0</v>
      </c>
      <c r="Q81" s="43" t="n">
        <v>0</v>
      </c>
      <c r="R81" s="36" t="n">
        <f aca="false">R16</f>
        <v>8.47192194725018</v>
      </c>
      <c r="S81" s="36" t="n">
        <f aca="false">R81</f>
        <v>8.47192194725018</v>
      </c>
      <c r="T81" s="36" t="n">
        <f aca="false">S81</f>
        <v>8.47192194725018</v>
      </c>
      <c r="U81" s="36" t="n">
        <f aca="false">T81</f>
        <v>8.47192194725018</v>
      </c>
      <c r="V81" s="36" t="n">
        <f aca="false">U81</f>
        <v>8.47192194725018</v>
      </c>
      <c r="W81" s="36" t="n">
        <f aca="false">V81</f>
        <v>8.47192194725018</v>
      </c>
      <c r="X81" s="36" t="n">
        <f aca="false">W81</f>
        <v>8.47192194725018</v>
      </c>
      <c r="Y81" s="36" t="n">
        <f aca="false">X81</f>
        <v>8.47192194725018</v>
      </c>
      <c r="Z81" s="36" t="n">
        <f aca="false">Y81</f>
        <v>8.47192194725018</v>
      </c>
      <c r="AA81" s="36" t="n">
        <f aca="false">Z81</f>
        <v>8.47192194725018</v>
      </c>
      <c r="AB81" s="36" t="n">
        <f aca="false">AA81</f>
        <v>8.47192194725018</v>
      </c>
      <c r="AC81" s="36" t="n">
        <f aca="false">AB81</f>
        <v>8.47192194725018</v>
      </c>
      <c r="AD81" s="36" t="n">
        <f aca="false">AC81*Assumptions!$F$28</f>
        <v>5.93034536307512</v>
      </c>
      <c r="AE81" s="36" t="n">
        <f aca="false">AD81</f>
        <v>5.93034536307512</v>
      </c>
      <c r="AF81" s="36" t="n">
        <f aca="false">AE81</f>
        <v>5.93034536307512</v>
      </c>
      <c r="AG81" s="36" t="n">
        <f aca="false">AF81</f>
        <v>5.93034536307512</v>
      </c>
      <c r="AH81" s="36" t="n">
        <f aca="false">AG81</f>
        <v>5.93034536307512</v>
      </c>
      <c r="AI81" s="36" t="n">
        <f aca="false">AH81</f>
        <v>5.93034536307512</v>
      </c>
      <c r="AJ81" s="36" t="n">
        <f aca="false">AI81</f>
        <v>5.93034536307512</v>
      </c>
      <c r="AK81" s="36" t="n">
        <f aca="false">AJ81</f>
        <v>5.93034536307512</v>
      </c>
      <c r="AL81" s="36" t="n">
        <f aca="false">AK81</f>
        <v>5.93034536307512</v>
      </c>
    </row>
    <row r="82" customFormat="false" ht="15" hidden="false" customHeight="false" outlineLevel="0" collapsed="false">
      <c r="A82" s="8" t="s">
        <v>197</v>
      </c>
      <c r="B82" s="14" t="s">
        <v>161</v>
      </c>
      <c r="C82" s="43" t="n">
        <v>0</v>
      </c>
      <c r="D82" s="43" t="n">
        <v>0</v>
      </c>
      <c r="E82" s="43" t="n">
        <v>0</v>
      </c>
      <c r="F82" s="43" t="n">
        <v>0</v>
      </c>
      <c r="G82" s="43" t="n">
        <v>0</v>
      </c>
      <c r="H82" s="43" t="n">
        <v>0</v>
      </c>
      <c r="I82" s="43" t="n">
        <v>0</v>
      </c>
      <c r="J82" s="43" t="n">
        <v>0</v>
      </c>
      <c r="K82" s="43" t="n">
        <v>0</v>
      </c>
      <c r="L82" s="43" t="n">
        <v>0</v>
      </c>
      <c r="M82" s="43" t="n">
        <v>0</v>
      </c>
      <c r="N82" s="43" t="n">
        <v>0</v>
      </c>
      <c r="O82" s="43" t="n">
        <v>0</v>
      </c>
      <c r="P82" s="43" t="n">
        <v>0</v>
      </c>
      <c r="Q82" s="43" t="n">
        <v>0</v>
      </c>
      <c r="R82" s="43" t="n">
        <v>0</v>
      </c>
      <c r="S82" s="36" t="n">
        <f aca="false">S16</f>
        <v>9.34900844063635</v>
      </c>
      <c r="T82" s="36" t="n">
        <f aca="false">S82</f>
        <v>9.34900844063635</v>
      </c>
      <c r="U82" s="36" t="n">
        <f aca="false">T82</f>
        <v>9.34900844063635</v>
      </c>
      <c r="V82" s="36" t="n">
        <f aca="false">U82</f>
        <v>9.34900844063635</v>
      </c>
      <c r="W82" s="36" t="n">
        <f aca="false">V82</f>
        <v>9.34900844063635</v>
      </c>
      <c r="X82" s="36" t="n">
        <f aca="false">W82</f>
        <v>9.34900844063635</v>
      </c>
      <c r="Y82" s="36" t="n">
        <f aca="false">X82</f>
        <v>9.34900844063635</v>
      </c>
      <c r="Z82" s="36" t="n">
        <f aca="false">Y82</f>
        <v>9.34900844063635</v>
      </c>
      <c r="AA82" s="36" t="n">
        <f aca="false">Z82</f>
        <v>9.34900844063635</v>
      </c>
      <c r="AB82" s="36" t="n">
        <f aca="false">AA82</f>
        <v>9.34900844063635</v>
      </c>
      <c r="AC82" s="36" t="n">
        <f aca="false">AB82</f>
        <v>9.34900844063635</v>
      </c>
      <c r="AD82" s="36" t="n">
        <f aca="false">AC82</f>
        <v>9.34900844063635</v>
      </c>
      <c r="AE82" s="36" t="n">
        <f aca="false">AD82*Assumptions!$F$28</f>
        <v>6.54430590844545</v>
      </c>
      <c r="AF82" s="36" t="n">
        <f aca="false">AE82</f>
        <v>6.54430590844545</v>
      </c>
      <c r="AG82" s="36" t="n">
        <f aca="false">AF82</f>
        <v>6.54430590844545</v>
      </c>
      <c r="AH82" s="36" t="n">
        <f aca="false">AG82</f>
        <v>6.54430590844545</v>
      </c>
      <c r="AI82" s="36" t="n">
        <f aca="false">AH82</f>
        <v>6.54430590844545</v>
      </c>
      <c r="AJ82" s="36" t="n">
        <f aca="false">AI82</f>
        <v>6.54430590844545</v>
      </c>
      <c r="AK82" s="36" t="n">
        <f aca="false">AJ82</f>
        <v>6.54430590844545</v>
      </c>
      <c r="AL82" s="36" t="n">
        <f aca="false">AK82</f>
        <v>6.54430590844545</v>
      </c>
    </row>
    <row r="83" customFormat="false" ht="15" hidden="false" customHeight="false" outlineLevel="0" collapsed="false">
      <c r="A83" s="8" t="s">
        <v>198</v>
      </c>
      <c r="B83" s="14" t="s">
        <v>161</v>
      </c>
      <c r="C83" s="43" t="n">
        <v>0</v>
      </c>
      <c r="D83" s="43" t="n">
        <v>0</v>
      </c>
      <c r="E83" s="43" t="n">
        <v>0</v>
      </c>
      <c r="F83" s="43" t="n">
        <v>0</v>
      </c>
      <c r="G83" s="43" t="n">
        <v>0</v>
      </c>
      <c r="H83" s="43" t="n">
        <v>0</v>
      </c>
      <c r="I83" s="43" t="n">
        <v>0</v>
      </c>
      <c r="J83" s="43" t="n">
        <v>0</v>
      </c>
      <c r="K83" s="43" t="n">
        <v>0</v>
      </c>
      <c r="L83" s="43" t="n">
        <v>0</v>
      </c>
      <c r="M83" s="43" t="n">
        <v>0</v>
      </c>
      <c r="N83" s="43" t="n">
        <v>0</v>
      </c>
      <c r="O83" s="43" t="n">
        <v>0</v>
      </c>
      <c r="P83" s="43" t="n">
        <v>0</v>
      </c>
      <c r="Q83" s="43" t="n">
        <v>0</v>
      </c>
      <c r="R83" s="43" t="n">
        <v>0</v>
      </c>
      <c r="S83" s="43" t="n">
        <v>0</v>
      </c>
      <c r="T83" s="36" t="n">
        <f aca="false">T16</f>
        <v>10.3197380270297</v>
      </c>
      <c r="U83" s="36" t="n">
        <f aca="false">T83</f>
        <v>10.3197380270297</v>
      </c>
      <c r="V83" s="36" t="n">
        <f aca="false">U83</f>
        <v>10.3197380270297</v>
      </c>
      <c r="W83" s="36" t="n">
        <f aca="false">V83</f>
        <v>10.3197380270297</v>
      </c>
      <c r="X83" s="36" t="n">
        <f aca="false">W83</f>
        <v>10.3197380270297</v>
      </c>
      <c r="Y83" s="36" t="n">
        <f aca="false">X83</f>
        <v>10.3197380270297</v>
      </c>
      <c r="Z83" s="36" t="n">
        <f aca="false">Y83</f>
        <v>10.3197380270297</v>
      </c>
      <c r="AA83" s="36" t="n">
        <f aca="false">Z83</f>
        <v>10.3197380270297</v>
      </c>
      <c r="AB83" s="36" t="n">
        <f aca="false">AA83</f>
        <v>10.3197380270297</v>
      </c>
      <c r="AC83" s="36" t="n">
        <f aca="false">AB83</f>
        <v>10.3197380270297</v>
      </c>
      <c r="AD83" s="36" t="n">
        <f aca="false">AC83</f>
        <v>10.3197380270297</v>
      </c>
      <c r="AE83" s="36" t="n">
        <f aca="false">AD83</f>
        <v>10.3197380270297</v>
      </c>
      <c r="AF83" s="36" t="n">
        <f aca="false">AE83*Assumptions!$F$28</f>
        <v>7.22381661892082</v>
      </c>
      <c r="AG83" s="36" t="n">
        <f aca="false">AF83</f>
        <v>7.22381661892082</v>
      </c>
      <c r="AH83" s="36" t="n">
        <f aca="false">AG83</f>
        <v>7.22381661892082</v>
      </c>
      <c r="AI83" s="36" t="n">
        <f aca="false">AH83</f>
        <v>7.22381661892082</v>
      </c>
      <c r="AJ83" s="36" t="n">
        <f aca="false">AI83</f>
        <v>7.22381661892082</v>
      </c>
      <c r="AK83" s="36" t="n">
        <f aca="false">AJ83</f>
        <v>7.22381661892082</v>
      </c>
      <c r="AL83" s="36" t="n">
        <f aca="false">AK83</f>
        <v>7.22381661892082</v>
      </c>
    </row>
    <row r="84" customFormat="false" ht="15" hidden="false" customHeight="false" outlineLevel="0" collapsed="false">
      <c r="A84" s="8" t="s">
        <v>199</v>
      </c>
      <c r="B84" s="14" t="s">
        <v>161</v>
      </c>
      <c r="C84" s="43" t="n">
        <v>0</v>
      </c>
      <c r="D84" s="43" t="n">
        <v>0</v>
      </c>
      <c r="E84" s="43" t="n">
        <v>0</v>
      </c>
      <c r="F84" s="43" t="n">
        <v>0</v>
      </c>
      <c r="G84" s="43" t="n">
        <v>0</v>
      </c>
      <c r="H84" s="43" t="n">
        <v>0</v>
      </c>
      <c r="I84" s="43" t="n">
        <v>0</v>
      </c>
      <c r="J84" s="43" t="n">
        <v>0</v>
      </c>
      <c r="K84" s="43" t="n">
        <v>0</v>
      </c>
      <c r="L84" s="43" t="n">
        <v>0</v>
      </c>
      <c r="M84" s="43" t="n">
        <v>0</v>
      </c>
      <c r="N84" s="43" t="n">
        <v>0</v>
      </c>
      <c r="O84" s="43" t="n">
        <v>0</v>
      </c>
      <c r="P84" s="43" t="n">
        <v>0</v>
      </c>
      <c r="Q84" s="43" t="n">
        <v>0</v>
      </c>
      <c r="R84" s="43" t="n">
        <v>0</v>
      </c>
      <c r="S84" s="43" t="n">
        <v>0</v>
      </c>
      <c r="T84" s="43" t="n">
        <v>0</v>
      </c>
      <c r="U84" s="36" t="n">
        <f aca="false">U16</f>
        <v>11.3944387945108</v>
      </c>
      <c r="V84" s="36" t="n">
        <f aca="false">U84</f>
        <v>11.3944387945108</v>
      </c>
      <c r="W84" s="36" t="n">
        <f aca="false">V84</f>
        <v>11.3944387945108</v>
      </c>
      <c r="X84" s="36" t="n">
        <f aca="false">W84</f>
        <v>11.3944387945108</v>
      </c>
      <c r="Y84" s="36" t="n">
        <f aca="false">X84</f>
        <v>11.3944387945108</v>
      </c>
      <c r="Z84" s="36" t="n">
        <f aca="false">Y84</f>
        <v>11.3944387945108</v>
      </c>
      <c r="AA84" s="36" t="n">
        <f aca="false">Z84</f>
        <v>11.3944387945108</v>
      </c>
      <c r="AB84" s="36" t="n">
        <f aca="false">AA84</f>
        <v>11.3944387945108</v>
      </c>
      <c r="AC84" s="36" t="n">
        <f aca="false">AB84</f>
        <v>11.3944387945108</v>
      </c>
      <c r="AD84" s="36" t="n">
        <f aca="false">AC84</f>
        <v>11.3944387945108</v>
      </c>
      <c r="AE84" s="36" t="n">
        <f aca="false">AD84</f>
        <v>11.3944387945108</v>
      </c>
      <c r="AF84" s="36" t="n">
        <f aca="false">AE84</f>
        <v>11.3944387945108</v>
      </c>
      <c r="AG84" s="36" t="n">
        <f aca="false">AF84*Assumptions!$F$28</f>
        <v>7.97610715615754</v>
      </c>
      <c r="AH84" s="36" t="n">
        <f aca="false">AG84</f>
        <v>7.97610715615754</v>
      </c>
      <c r="AI84" s="36" t="n">
        <f aca="false">AH84</f>
        <v>7.97610715615754</v>
      </c>
      <c r="AJ84" s="36" t="n">
        <f aca="false">AI84</f>
        <v>7.97610715615754</v>
      </c>
      <c r="AK84" s="36" t="n">
        <f aca="false">AJ84</f>
        <v>7.97610715615754</v>
      </c>
      <c r="AL84" s="36" t="n">
        <f aca="false">AK84</f>
        <v>7.97610715615754</v>
      </c>
    </row>
    <row r="85" customFormat="false" ht="15" hidden="false" customHeight="false" outlineLevel="0" collapsed="false">
      <c r="A85" s="8" t="s">
        <v>200</v>
      </c>
      <c r="B85" s="14" t="s">
        <v>161</v>
      </c>
      <c r="C85" s="43" t="n">
        <v>0</v>
      </c>
      <c r="D85" s="43" t="n">
        <v>0</v>
      </c>
      <c r="E85" s="43" t="n">
        <v>0</v>
      </c>
      <c r="F85" s="43" t="n">
        <v>0</v>
      </c>
      <c r="G85" s="43" t="n">
        <v>0</v>
      </c>
      <c r="H85" s="43" t="n">
        <v>0</v>
      </c>
      <c r="I85" s="43" t="n">
        <v>0</v>
      </c>
      <c r="J85" s="43" t="n">
        <v>0</v>
      </c>
      <c r="K85" s="43" t="n">
        <v>0</v>
      </c>
      <c r="L85" s="43" t="n">
        <v>0</v>
      </c>
      <c r="M85" s="43" t="n">
        <v>0</v>
      </c>
      <c r="N85" s="43" t="n">
        <v>0</v>
      </c>
      <c r="O85" s="43" t="n">
        <v>0</v>
      </c>
      <c r="P85" s="43" t="n">
        <v>0</v>
      </c>
      <c r="Q85" s="43" t="n">
        <v>0</v>
      </c>
      <c r="R85" s="43" t="n">
        <v>0</v>
      </c>
      <c r="S85" s="43" t="n">
        <v>0</v>
      </c>
      <c r="T85" s="43" t="n">
        <v>0</v>
      </c>
      <c r="U85" s="43" t="n">
        <v>0</v>
      </c>
      <c r="V85" s="36" t="n">
        <f aca="false">V16</f>
        <v>12.584604353969</v>
      </c>
      <c r="W85" s="36" t="n">
        <f aca="false">V85</f>
        <v>12.584604353969</v>
      </c>
      <c r="X85" s="36" t="n">
        <f aca="false">W85</f>
        <v>12.584604353969</v>
      </c>
      <c r="Y85" s="36" t="n">
        <f aca="false">X85</f>
        <v>12.584604353969</v>
      </c>
      <c r="Z85" s="36" t="n">
        <f aca="false">Y85</f>
        <v>12.584604353969</v>
      </c>
      <c r="AA85" s="36" t="n">
        <f aca="false">Z85</f>
        <v>12.584604353969</v>
      </c>
      <c r="AB85" s="36" t="n">
        <f aca="false">AA85</f>
        <v>12.584604353969</v>
      </c>
      <c r="AC85" s="36" t="n">
        <f aca="false">AB85</f>
        <v>12.584604353969</v>
      </c>
      <c r="AD85" s="36" t="n">
        <f aca="false">AC85</f>
        <v>12.584604353969</v>
      </c>
      <c r="AE85" s="36" t="n">
        <f aca="false">AD85</f>
        <v>12.584604353969</v>
      </c>
      <c r="AF85" s="36" t="n">
        <f aca="false">AE85</f>
        <v>12.584604353969</v>
      </c>
      <c r="AG85" s="36" t="n">
        <f aca="false">AF85</f>
        <v>12.584604353969</v>
      </c>
      <c r="AH85" s="36" t="n">
        <f aca="false">AG85*Assumptions!$F$28</f>
        <v>8.80922304777832</v>
      </c>
      <c r="AI85" s="36" t="n">
        <f aca="false">AH85</f>
        <v>8.80922304777832</v>
      </c>
      <c r="AJ85" s="36" t="n">
        <f aca="false">AI85</f>
        <v>8.80922304777832</v>
      </c>
      <c r="AK85" s="36" t="n">
        <f aca="false">AJ85</f>
        <v>8.80922304777832</v>
      </c>
      <c r="AL85" s="36" t="n">
        <f aca="false">AK85</f>
        <v>8.80922304777832</v>
      </c>
    </row>
    <row r="86" customFormat="false" ht="15" hidden="false" customHeight="false" outlineLevel="0" collapsed="false">
      <c r="A86" s="8" t="s">
        <v>201</v>
      </c>
      <c r="B86" s="14" t="s">
        <v>161</v>
      </c>
      <c r="C86" s="43" t="n">
        <v>0</v>
      </c>
      <c r="D86" s="43" t="n">
        <v>0</v>
      </c>
      <c r="E86" s="43" t="n">
        <v>0</v>
      </c>
      <c r="F86" s="43" t="n">
        <v>0</v>
      </c>
      <c r="G86" s="43" t="n">
        <v>0</v>
      </c>
      <c r="H86" s="43" t="n">
        <v>0</v>
      </c>
      <c r="I86" s="43" t="n">
        <v>0</v>
      </c>
      <c r="J86" s="43" t="n">
        <v>0</v>
      </c>
      <c r="K86" s="43" t="n">
        <v>0</v>
      </c>
      <c r="L86" s="43" t="n">
        <v>0</v>
      </c>
      <c r="M86" s="43" t="n">
        <v>0</v>
      </c>
      <c r="N86" s="43" t="n">
        <v>0</v>
      </c>
      <c r="O86" s="43" t="n">
        <v>0</v>
      </c>
      <c r="P86" s="43" t="n">
        <v>0</v>
      </c>
      <c r="Q86" s="43" t="n">
        <v>0</v>
      </c>
      <c r="R86" s="43" t="n">
        <v>0</v>
      </c>
      <c r="S86" s="43" t="n">
        <v>0</v>
      </c>
      <c r="T86" s="43" t="n">
        <v>0</v>
      </c>
      <c r="U86" s="43" t="n">
        <v>0</v>
      </c>
      <c r="V86" s="43" t="n">
        <v>0</v>
      </c>
      <c r="W86" s="36" t="n">
        <f aca="false">W16</f>
        <v>13.9030278583398</v>
      </c>
      <c r="X86" s="36" t="n">
        <f aca="false">W86</f>
        <v>13.9030278583398</v>
      </c>
      <c r="Y86" s="36" t="n">
        <f aca="false">X86</f>
        <v>13.9030278583398</v>
      </c>
      <c r="Z86" s="36" t="n">
        <f aca="false">Y86</f>
        <v>13.9030278583398</v>
      </c>
      <c r="AA86" s="36" t="n">
        <f aca="false">Z86</f>
        <v>13.9030278583398</v>
      </c>
      <c r="AB86" s="36" t="n">
        <f aca="false">AA86</f>
        <v>13.9030278583398</v>
      </c>
      <c r="AC86" s="36" t="n">
        <f aca="false">AB86</f>
        <v>13.9030278583398</v>
      </c>
      <c r="AD86" s="36" t="n">
        <f aca="false">AC86</f>
        <v>13.9030278583398</v>
      </c>
      <c r="AE86" s="36" t="n">
        <f aca="false">AD86</f>
        <v>13.9030278583398</v>
      </c>
      <c r="AF86" s="36" t="n">
        <f aca="false">AE86</f>
        <v>13.9030278583398</v>
      </c>
      <c r="AG86" s="36" t="n">
        <f aca="false">AF86</f>
        <v>13.9030278583398</v>
      </c>
      <c r="AH86" s="36" t="n">
        <f aca="false">AG86</f>
        <v>13.9030278583398</v>
      </c>
      <c r="AI86" s="36" t="n">
        <f aca="false">AH86*Assumptions!$F$28</f>
        <v>9.73211950083787</v>
      </c>
      <c r="AJ86" s="36" t="n">
        <f aca="false">AI86</f>
        <v>9.73211950083787</v>
      </c>
      <c r="AK86" s="36" t="n">
        <f aca="false">AJ86</f>
        <v>9.73211950083787</v>
      </c>
      <c r="AL86" s="36" t="n">
        <f aca="false">AK86</f>
        <v>9.73211950083787</v>
      </c>
    </row>
    <row r="87" customFormat="false" ht="15" hidden="false" customHeight="false" outlineLevel="0" collapsed="false">
      <c r="A87" s="8" t="s">
        <v>202</v>
      </c>
      <c r="B87" s="14" t="s">
        <v>161</v>
      </c>
      <c r="C87" s="43" t="n">
        <v>0</v>
      </c>
      <c r="D87" s="43" t="n">
        <v>0</v>
      </c>
      <c r="E87" s="43" t="n">
        <v>0</v>
      </c>
      <c r="F87" s="43" t="n">
        <v>0</v>
      </c>
      <c r="G87" s="43" t="n">
        <v>0</v>
      </c>
      <c r="H87" s="43" t="n">
        <v>0</v>
      </c>
      <c r="I87" s="43" t="n">
        <v>0</v>
      </c>
      <c r="J87" s="43" t="n">
        <v>0</v>
      </c>
      <c r="K87" s="43" t="n">
        <v>0</v>
      </c>
      <c r="L87" s="43" t="n">
        <v>0</v>
      </c>
      <c r="M87" s="43" t="n">
        <v>0</v>
      </c>
      <c r="N87" s="43" t="n">
        <v>0</v>
      </c>
      <c r="O87" s="43" t="n">
        <v>0</v>
      </c>
      <c r="P87" s="43" t="n">
        <v>0</v>
      </c>
      <c r="Q87" s="43" t="n">
        <v>0</v>
      </c>
      <c r="R87" s="43" t="n">
        <v>0</v>
      </c>
      <c r="S87" s="43" t="n">
        <v>0</v>
      </c>
      <c r="T87" s="43" t="n">
        <v>0</v>
      </c>
      <c r="U87" s="43" t="n">
        <v>0</v>
      </c>
      <c r="V87" s="43" t="n">
        <v>0</v>
      </c>
      <c r="W87" s="43" t="n">
        <v>0</v>
      </c>
      <c r="X87" s="36" t="n">
        <f aca="false">X16</f>
        <v>15.3639516329789</v>
      </c>
      <c r="Y87" s="36" t="n">
        <f aca="false">X87</f>
        <v>15.3639516329789</v>
      </c>
      <c r="Z87" s="36" t="n">
        <f aca="false">Y87</f>
        <v>15.3639516329789</v>
      </c>
      <c r="AA87" s="36" t="n">
        <f aca="false">Z87</f>
        <v>15.3639516329789</v>
      </c>
      <c r="AB87" s="36" t="n">
        <f aca="false">AA87</f>
        <v>15.3639516329789</v>
      </c>
      <c r="AC87" s="36" t="n">
        <f aca="false">AB87</f>
        <v>15.3639516329789</v>
      </c>
      <c r="AD87" s="36" t="n">
        <f aca="false">AC87</f>
        <v>15.3639516329789</v>
      </c>
      <c r="AE87" s="36" t="n">
        <f aca="false">AD87</f>
        <v>15.3639516329789</v>
      </c>
      <c r="AF87" s="36" t="n">
        <f aca="false">AE87</f>
        <v>15.3639516329789</v>
      </c>
      <c r="AG87" s="36" t="n">
        <f aca="false">AF87</f>
        <v>15.3639516329789</v>
      </c>
      <c r="AH87" s="36" t="n">
        <f aca="false">AG87</f>
        <v>15.3639516329789</v>
      </c>
      <c r="AI87" s="36" t="n">
        <f aca="false">AH87</f>
        <v>15.3639516329789</v>
      </c>
      <c r="AJ87" s="36" t="n">
        <f aca="false">AI87*Assumptions!$F$28</f>
        <v>10.7547661430852</v>
      </c>
      <c r="AK87" s="36" t="n">
        <f aca="false">AJ87</f>
        <v>10.7547661430852</v>
      </c>
      <c r="AL87" s="36" t="n">
        <f aca="false">AK87</f>
        <v>10.7547661430852</v>
      </c>
    </row>
    <row r="88" customFormat="false" ht="15" hidden="false" customHeight="false" outlineLevel="0" collapsed="false">
      <c r="A88" s="8" t="s">
        <v>203</v>
      </c>
      <c r="B88" s="14" t="s">
        <v>161</v>
      </c>
      <c r="C88" s="43" t="n">
        <v>0</v>
      </c>
      <c r="D88" s="43" t="n">
        <v>0</v>
      </c>
      <c r="E88" s="43" t="n">
        <v>0</v>
      </c>
      <c r="F88" s="43" t="n">
        <v>0</v>
      </c>
      <c r="G88" s="43" t="n">
        <v>0</v>
      </c>
      <c r="H88" s="43" t="n">
        <v>0</v>
      </c>
      <c r="I88" s="43" t="n">
        <v>0</v>
      </c>
      <c r="J88" s="43" t="n">
        <v>0</v>
      </c>
      <c r="K88" s="43" t="n">
        <v>0</v>
      </c>
      <c r="L88" s="43" t="n">
        <v>0</v>
      </c>
      <c r="M88" s="43" t="n">
        <v>0</v>
      </c>
      <c r="N88" s="43" t="n">
        <v>0</v>
      </c>
      <c r="O88" s="43" t="n">
        <v>0</v>
      </c>
      <c r="P88" s="43" t="n">
        <v>0</v>
      </c>
      <c r="Q88" s="43" t="n">
        <v>0</v>
      </c>
      <c r="R88" s="43" t="n">
        <v>0</v>
      </c>
      <c r="S88" s="43" t="n">
        <v>0</v>
      </c>
      <c r="T88" s="43" t="n">
        <v>0</v>
      </c>
      <c r="U88" s="43" t="n">
        <v>0</v>
      </c>
      <c r="V88" s="43" t="n">
        <v>0</v>
      </c>
      <c r="W88" s="43" t="n">
        <v>0</v>
      </c>
      <c r="X88" s="43" t="n">
        <v>0</v>
      </c>
      <c r="Y88" s="36" t="n">
        <f aca="false">Y16</f>
        <v>16.9832342530301</v>
      </c>
      <c r="Z88" s="36" t="n">
        <f aca="false">Y88</f>
        <v>16.9832342530301</v>
      </c>
      <c r="AA88" s="36" t="n">
        <f aca="false">Z88</f>
        <v>16.9832342530301</v>
      </c>
      <c r="AB88" s="36" t="n">
        <f aca="false">AA88</f>
        <v>16.9832342530301</v>
      </c>
      <c r="AC88" s="36" t="n">
        <f aca="false">AB88</f>
        <v>16.9832342530301</v>
      </c>
      <c r="AD88" s="36" t="n">
        <f aca="false">AC88</f>
        <v>16.9832342530301</v>
      </c>
      <c r="AE88" s="36" t="n">
        <f aca="false">AD88</f>
        <v>16.9832342530301</v>
      </c>
      <c r="AF88" s="36" t="n">
        <f aca="false">AE88</f>
        <v>16.9832342530301</v>
      </c>
      <c r="AG88" s="36" t="n">
        <f aca="false">AF88</f>
        <v>16.9832342530301</v>
      </c>
      <c r="AH88" s="36" t="n">
        <f aca="false">AG88</f>
        <v>16.9832342530301</v>
      </c>
      <c r="AI88" s="36" t="n">
        <f aca="false">AH88</f>
        <v>16.9832342530301</v>
      </c>
      <c r="AJ88" s="36" t="n">
        <f aca="false">AI88</f>
        <v>16.9832342530301</v>
      </c>
      <c r="AK88" s="36" t="n">
        <f aca="false">AJ88*Assumptions!$F$28</f>
        <v>11.8882639771211</v>
      </c>
      <c r="AL88" s="36" t="n">
        <f aca="false">AK88</f>
        <v>11.8882639771211</v>
      </c>
    </row>
    <row r="89" customFormat="false" ht="15" hidden="false" customHeight="false" outlineLevel="0" collapsed="false">
      <c r="A89" s="8" t="s">
        <v>204</v>
      </c>
      <c r="B89" s="14" t="s">
        <v>161</v>
      </c>
      <c r="C89" s="43" t="n">
        <v>0</v>
      </c>
      <c r="D89" s="43" t="n">
        <v>0</v>
      </c>
      <c r="E89" s="43" t="n">
        <v>0</v>
      </c>
      <c r="F89" s="43" t="n">
        <v>0</v>
      </c>
      <c r="G89" s="43" t="n">
        <v>0</v>
      </c>
      <c r="H89" s="43" t="n">
        <v>0</v>
      </c>
      <c r="I89" s="43" t="n">
        <v>0</v>
      </c>
      <c r="J89" s="43" t="n">
        <v>0</v>
      </c>
      <c r="K89" s="43" t="n">
        <v>0</v>
      </c>
      <c r="L89" s="43" t="n">
        <v>0</v>
      </c>
      <c r="M89" s="43" t="n">
        <v>0</v>
      </c>
      <c r="N89" s="43" t="n">
        <v>0</v>
      </c>
      <c r="O89" s="43" t="n">
        <v>0</v>
      </c>
      <c r="P89" s="43" t="n">
        <v>0</v>
      </c>
      <c r="Q89" s="43" t="n">
        <v>0</v>
      </c>
      <c r="R89" s="43" t="n">
        <v>0</v>
      </c>
      <c r="S89" s="43" t="n">
        <v>0</v>
      </c>
      <c r="T89" s="43" t="n">
        <v>0</v>
      </c>
      <c r="U89" s="43" t="n">
        <v>0</v>
      </c>
      <c r="V89" s="43" t="n">
        <v>0</v>
      </c>
      <c r="W89" s="43" t="n">
        <v>0</v>
      </c>
      <c r="X89" s="43" t="n">
        <v>0</v>
      </c>
      <c r="Y89" s="43" t="n">
        <v>0</v>
      </c>
      <c r="Z89" s="36" t="n">
        <f aca="false">Z16</f>
        <v>18.7785371209322</v>
      </c>
      <c r="AA89" s="36" t="n">
        <f aca="false">Z89</f>
        <v>18.7785371209322</v>
      </c>
      <c r="AB89" s="36" t="n">
        <f aca="false">AA89</f>
        <v>18.7785371209322</v>
      </c>
      <c r="AC89" s="36" t="n">
        <f aca="false">AB89</f>
        <v>18.7785371209322</v>
      </c>
      <c r="AD89" s="36" t="n">
        <f aca="false">AC89</f>
        <v>18.7785371209322</v>
      </c>
      <c r="AE89" s="36" t="n">
        <f aca="false">AD89</f>
        <v>18.7785371209322</v>
      </c>
      <c r="AF89" s="36" t="n">
        <f aca="false">AE89</f>
        <v>18.7785371209322</v>
      </c>
      <c r="AG89" s="36" t="n">
        <f aca="false">AF89</f>
        <v>18.7785371209322</v>
      </c>
      <c r="AH89" s="36" t="n">
        <f aca="false">AG89</f>
        <v>18.7785371209322</v>
      </c>
      <c r="AI89" s="36" t="n">
        <f aca="false">AH89</f>
        <v>18.7785371209322</v>
      </c>
      <c r="AJ89" s="36" t="n">
        <f aca="false">AI89</f>
        <v>18.7785371209322</v>
      </c>
      <c r="AK89" s="36" t="n">
        <f aca="false">AJ89</f>
        <v>18.7785371209322</v>
      </c>
      <c r="AL89" s="36" t="n">
        <f aca="false">AK89*Assumptions!$F$28</f>
        <v>13.1449759846526</v>
      </c>
    </row>
    <row r="90" customFormat="false" ht="15" hidden="false" customHeight="false" outlineLevel="0" collapsed="false">
      <c r="A90" s="8" t="s">
        <v>205</v>
      </c>
      <c r="B90" s="14" t="s">
        <v>161</v>
      </c>
      <c r="C90" s="43" t="n">
        <v>0</v>
      </c>
      <c r="D90" s="43" t="n">
        <v>0</v>
      </c>
      <c r="E90" s="43" t="n">
        <v>0</v>
      </c>
      <c r="F90" s="43" t="n">
        <v>0</v>
      </c>
      <c r="G90" s="43" t="n">
        <v>0</v>
      </c>
      <c r="H90" s="43" t="n">
        <v>0</v>
      </c>
      <c r="I90" s="43" t="n">
        <v>0</v>
      </c>
      <c r="J90" s="43" t="n">
        <v>0</v>
      </c>
      <c r="K90" s="43" t="n">
        <v>0</v>
      </c>
      <c r="L90" s="43" t="n">
        <v>0</v>
      </c>
      <c r="M90" s="43" t="n">
        <v>0</v>
      </c>
      <c r="N90" s="43" t="n">
        <v>0</v>
      </c>
      <c r="O90" s="43" t="n">
        <v>0</v>
      </c>
      <c r="P90" s="43" t="n">
        <v>0</v>
      </c>
      <c r="Q90" s="43" t="n">
        <v>0</v>
      </c>
      <c r="R90" s="43" t="n">
        <v>0</v>
      </c>
      <c r="S90" s="43" t="n">
        <v>0</v>
      </c>
      <c r="T90" s="43" t="n">
        <v>0</v>
      </c>
      <c r="U90" s="43" t="n">
        <v>0</v>
      </c>
      <c r="V90" s="43" t="n">
        <v>0</v>
      </c>
      <c r="W90" s="43" t="n">
        <v>0</v>
      </c>
      <c r="X90" s="43" t="n">
        <v>0</v>
      </c>
      <c r="Y90" s="43" t="n">
        <v>0</v>
      </c>
      <c r="Z90" s="43" t="n">
        <v>0</v>
      </c>
      <c r="AA90" s="36" t="n">
        <f aca="false">AA16</f>
        <v>20.7695328403384</v>
      </c>
      <c r="AB90" s="36" t="n">
        <f aca="false">AA90</f>
        <v>20.7695328403384</v>
      </c>
      <c r="AC90" s="36" t="n">
        <f aca="false">AB90</f>
        <v>20.7695328403384</v>
      </c>
      <c r="AD90" s="36" t="n">
        <f aca="false">AC90</f>
        <v>20.7695328403384</v>
      </c>
      <c r="AE90" s="36" t="n">
        <f aca="false">AD90</f>
        <v>20.7695328403384</v>
      </c>
      <c r="AF90" s="36" t="n">
        <f aca="false">AE90</f>
        <v>20.7695328403384</v>
      </c>
      <c r="AG90" s="36" t="n">
        <f aca="false">AF90</f>
        <v>20.7695328403384</v>
      </c>
      <c r="AH90" s="36" t="n">
        <f aca="false">AG90</f>
        <v>20.7695328403384</v>
      </c>
      <c r="AI90" s="36" t="n">
        <f aca="false">AH90</f>
        <v>20.7695328403384</v>
      </c>
      <c r="AJ90" s="36" t="n">
        <f aca="false">AI90</f>
        <v>20.7695328403384</v>
      </c>
      <c r="AK90" s="36" t="n">
        <f aca="false">AJ90</f>
        <v>20.7695328403384</v>
      </c>
      <c r="AL90" s="36" t="n">
        <f aca="false">AK90</f>
        <v>20.7695328403384</v>
      </c>
    </row>
    <row r="91" customFormat="false" ht="15" hidden="false" customHeight="false" outlineLevel="0" collapsed="false">
      <c r="A91" s="8" t="s">
        <v>206</v>
      </c>
      <c r="B91" s="14" t="s">
        <v>161</v>
      </c>
      <c r="C91" s="43" t="n">
        <v>0</v>
      </c>
      <c r="D91" s="43" t="n">
        <v>0</v>
      </c>
      <c r="E91" s="43" t="n">
        <v>0</v>
      </c>
      <c r="F91" s="43" t="n">
        <v>0</v>
      </c>
      <c r="G91" s="43" t="n">
        <v>0</v>
      </c>
      <c r="H91" s="43" t="n">
        <v>0</v>
      </c>
      <c r="I91" s="43" t="n">
        <v>0</v>
      </c>
      <c r="J91" s="43" t="n">
        <v>0</v>
      </c>
      <c r="K91" s="43" t="n">
        <v>0</v>
      </c>
      <c r="L91" s="43" t="n">
        <v>0</v>
      </c>
      <c r="M91" s="43" t="n">
        <v>0</v>
      </c>
      <c r="N91" s="43" t="n">
        <v>0</v>
      </c>
      <c r="O91" s="43" t="n">
        <v>0</v>
      </c>
      <c r="P91" s="43" t="n">
        <v>0</v>
      </c>
      <c r="Q91" s="43" t="n">
        <v>0</v>
      </c>
      <c r="R91" s="43" t="n">
        <v>0</v>
      </c>
      <c r="S91" s="43" t="n">
        <v>0</v>
      </c>
      <c r="T91" s="43" t="n">
        <v>0</v>
      </c>
      <c r="U91" s="43" t="n">
        <v>0</v>
      </c>
      <c r="V91" s="43" t="n">
        <v>0</v>
      </c>
      <c r="W91" s="43" t="n">
        <v>0</v>
      </c>
      <c r="X91" s="43" t="n">
        <v>0</v>
      </c>
      <c r="Y91" s="43" t="n">
        <v>0</v>
      </c>
      <c r="Z91" s="43" t="n">
        <v>0</v>
      </c>
      <c r="AA91" s="43" t="n">
        <v>0</v>
      </c>
      <c r="AB91" s="36" t="n">
        <f aca="false">AB16</f>
        <v>22.9778635267643</v>
      </c>
      <c r="AC91" s="36" t="n">
        <f aca="false">AB91</f>
        <v>22.9778635267643</v>
      </c>
      <c r="AD91" s="36" t="n">
        <f aca="false">AC91</f>
        <v>22.9778635267643</v>
      </c>
      <c r="AE91" s="36" t="n">
        <f aca="false">AD91</f>
        <v>22.9778635267643</v>
      </c>
      <c r="AF91" s="36" t="n">
        <f aca="false">AE91</f>
        <v>22.9778635267643</v>
      </c>
      <c r="AG91" s="36" t="n">
        <f aca="false">AF91</f>
        <v>22.9778635267643</v>
      </c>
      <c r="AH91" s="36" t="n">
        <f aca="false">AG91</f>
        <v>22.9778635267643</v>
      </c>
      <c r="AI91" s="36" t="n">
        <f aca="false">AH91</f>
        <v>22.9778635267643</v>
      </c>
      <c r="AJ91" s="36" t="n">
        <f aca="false">AI91</f>
        <v>22.9778635267643</v>
      </c>
      <c r="AK91" s="36" t="n">
        <f aca="false">AJ91</f>
        <v>22.9778635267643</v>
      </c>
      <c r="AL91" s="36" t="n">
        <f aca="false">AK91</f>
        <v>22.9778635267643</v>
      </c>
    </row>
    <row r="92" customFormat="false" ht="15" hidden="false" customHeight="false" outlineLevel="0" collapsed="false">
      <c r="A92" s="8" t="s">
        <v>207</v>
      </c>
      <c r="B92" s="14" t="s">
        <v>161</v>
      </c>
      <c r="C92" s="43" t="n">
        <v>0</v>
      </c>
      <c r="D92" s="43" t="n">
        <v>0</v>
      </c>
      <c r="E92" s="43" t="n">
        <v>0</v>
      </c>
      <c r="F92" s="43" t="n">
        <v>0</v>
      </c>
      <c r="G92" s="43" t="n">
        <v>0</v>
      </c>
      <c r="H92" s="43" t="n">
        <v>0</v>
      </c>
      <c r="I92" s="43" t="n">
        <v>0</v>
      </c>
      <c r="J92" s="43" t="n">
        <v>0</v>
      </c>
      <c r="K92" s="43" t="n">
        <v>0</v>
      </c>
      <c r="L92" s="43" t="n">
        <v>0</v>
      </c>
      <c r="M92" s="43" t="n">
        <v>0</v>
      </c>
      <c r="N92" s="43" t="n">
        <v>0</v>
      </c>
      <c r="O92" s="43" t="n">
        <v>0</v>
      </c>
      <c r="P92" s="43" t="n">
        <v>0</v>
      </c>
      <c r="Q92" s="43" t="n">
        <v>0</v>
      </c>
      <c r="R92" s="43" t="n">
        <v>0</v>
      </c>
      <c r="S92" s="43" t="n">
        <v>0</v>
      </c>
      <c r="T92" s="43" t="n">
        <v>0</v>
      </c>
      <c r="U92" s="43" t="n">
        <v>0</v>
      </c>
      <c r="V92" s="43" t="n">
        <v>0</v>
      </c>
      <c r="W92" s="43" t="n">
        <v>0</v>
      </c>
      <c r="X92" s="43" t="n">
        <v>0</v>
      </c>
      <c r="Y92" s="43" t="n">
        <v>0</v>
      </c>
      <c r="Z92" s="43" t="n">
        <v>0</v>
      </c>
      <c r="AA92" s="43" t="n">
        <v>0</v>
      </c>
      <c r="AB92" s="43" t="n">
        <v>0</v>
      </c>
      <c r="AC92" s="36" t="n">
        <f aca="false">AC16</f>
        <v>25.4281955011268</v>
      </c>
      <c r="AD92" s="36" t="n">
        <f aca="false">AC92</f>
        <v>25.4281955011268</v>
      </c>
      <c r="AE92" s="36" t="n">
        <f aca="false">AD92</f>
        <v>25.4281955011268</v>
      </c>
      <c r="AF92" s="36" t="n">
        <f aca="false">AE92</f>
        <v>25.4281955011268</v>
      </c>
      <c r="AG92" s="36" t="n">
        <f aca="false">AF92</f>
        <v>25.4281955011268</v>
      </c>
      <c r="AH92" s="36" t="n">
        <f aca="false">AG92</f>
        <v>25.4281955011268</v>
      </c>
      <c r="AI92" s="36" t="n">
        <f aca="false">AH92</f>
        <v>25.4281955011268</v>
      </c>
      <c r="AJ92" s="36" t="n">
        <f aca="false">AI92</f>
        <v>25.4281955011268</v>
      </c>
      <c r="AK92" s="36" t="n">
        <f aca="false">AJ92</f>
        <v>25.4281955011268</v>
      </c>
      <c r="AL92" s="36" t="n">
        <f aca="false">AK92</f>
        <v>25.4281955011268</v>
      </c>
    </row>
    <row r="93" customFormat="false" ht="15" hidden="false" customHeight="false" outlineLevel="0" collapsed="false">
      <c r="A93" s="8" t="s">
        <v>208</v>
      </c>
      <c r="B93" s="14" t="s">
        <v>161</v>
      </c>
      <c r="C93" s="43" t="n">
        <v>0</v>
      </c>
      <c r="D93" s="43" t="n">
        <v>0</v>
      </c>
      <c r="E93" s="43" t="n">
        <v>0</v>
      </c>
      <c r="F93" s="43" t="n">
        <v>0</v>
      </c>
      <c r="G93" s="43" t="n">
        <v>0</v>
      </c>
      <c r="H93" s="43" t="n">
        <v>0</v>
      </c>
      <c r="I93" s="43" t="n">
        <v>0</v>
      </c>
      <c r="J93" s="43" t="n">
        <v>0</v>
      </c>
      <c r="K93" s="43" t="n">
        <v>0</v>
      </c>
      <c r="L93" s="43" t="n">
        <v>0</v>
      </c>
      <c r="M93" s="43" t="n">
        <v>0</v>
      </c>
      <c r="N93" s="43" t="n">
        <v>0</v>
      </c>
      <c r="O93" s="43" t="n">
        <v>0</v>
      </c>
      <c r="P93" s="43" t="n">
        <v>0</v>
      </c>
      <c r="Q93" s="43" t="n">
        <v>0</v>
      </c>
      <c r="R93" s="43" t="n">
        <v>0</v>
      </c>
      <c r="S93" s="43" t="n">
        <v>0</v>
      </c>
      <c r="T93" s="43" t="n">
        <v>0</v>
      </c>
      <c r="U93" s="43" t="n">
        <v>0</v>
      </c>
      <c r="V93" s="43" t="n">
        <v>0</v>
      </c>
      <c r="W93" s="43" t="n">
        <v>0</v>
      </c>
      <c r="X93" s="43" t="n">
        <v>0</v>
      </c>
      <c r="Y93" s="43" t="n">
        <v>0</v>
      </c>
      <c r="Z93" s="43" t="n">
        <v>0</v>
      </c>
      <c r="AA93" s="43" t="n">
        <v>0</v>
      </c>
      <c r="AB93" s="43" t="n">
        <v>0</v>
      </c>
      <c r="AC93" s="43" t="n">
        <v>0</v>
      </c>
      <c r="AD93" s="36" t="n">
        <f aca="false">AD16</f>
        <v>26.9818456462349</v>
      </c>
      <c r="AE93" s="36" t="n">
        <f aca="false">AD93</f>
        <v>26.9818456462349</v>
      </c>
      <c r="AF93" s="36" t="n">
        <f aca="false">AE93</f>
        <v>26.9818456462349</v>
      </c>
      <c r="AG93" s="36" t="n">
        <f aca="false">AF93</f>
        <v>26.9818456462349</v>
      </c>
      <c r="AH93" s="36" t="n">
        <f aca="false">AG93</f>
        <v>26.9818456462349</v>
      </c>
      <c r="AI93" s="36" t="n">
        <f aca="false">AH93</f>
        <v>26.9818456462349</v>
      </c>
      <c r="AJ93" s="36" t="n">
        <f aca="false">AI93</f>
        <v>26.9818456462349</v>
      </c>
      <c r="AK93" s="36" t="n">
        <f aca="false">AJ93</f>
        <v>26.9818456462349</v>
      </c>
      <c r="AL93" s="36" t="n">
        <f aca="false">AK93</f>
        <v>26.9818456462349</v>
      </c>
    </row>
    <row r="94" customFormat="false" ht="15" hidden="false" customHeight="false" outlineLevel="0" collapsed="false">
      <c r="A94" s="8" t="s">
        <v>209</v>
      </c>
      <c r="B94" s="14" t="s">
        <v>161</v>
      </c>
      <c r="C94" s="43" t="n">
        <v>0</v>
      </c>
      <c r="D94" s="43" t="n">
        <v>0</v>
      </c>
      <c r="E94" s="43" t="n">
        <v>0</v>
      </c>
      <c r="F94" s="43" t="n">
        <v>0</v>
      </c>
      <c r="G94" s="43" t="n">
        <v>0</v>
      </c>
      <c r="H94" s="43" t="n">
        <v>0</v>
      </c>
      <c r="I94" s="43" t="n">
        <v>0</v>
      </c>
      <c r="J94" s="43" t="n">
        <v>0</v>
      </c>
      <c r="K94" s="43" t="n">
        <v>0</v>
      </c>
      <c r="L94" s="43" t="n">
        <v>0</v>
      </c>
      <c r="M94" s="43" t="n">
        <v>0</v>
      </c>
      <c r="N94" s="43" t="n">
        <v>0</v>
      </c>
      <c r="O94" s="43" t="n">
        <v>0</v>
      </c>
      <c r="P94" s="43" t="n">
        <v>0</v>
      </c>
      <c r="Q94" s="43" t="n">
        <v>0</v>
      </c>
      <c r="R94" s="43" t="n">
        <v>0</v>
      </c>
      <c r="S94" s="43" t="n">
        <v>0</v>
      </c>
      <c r="T94" s="43" t="n">
        <v>0</v>
      </c>
      <c r="U94" s="43" t="n">
        <v>0</v>
      </c>
      <c r="V94" s="43" t="n">
        <v>0</v>
      </c>
      <c r="W94" s="43" t="n">
        <v>0</v>
      </c>
      <c r="X94" s="43" t="n">
        <v>0</v>
      </c>
      <c r="Y94" s="43" t="n">
        <v>0</v>
      </c>
      <c r="Z94" s="43" t="n">
        <v>0</v>
      </c>
      <c r="AA94" s="43" t="n">
        <v>0</v>
      </c>
      <c r="AB94" s="43" t="n">
        <v>0</v>
      </c>
      <c r="AC94" s="43" t="n">
        <v>0</v>
      </c>
      <c r="AD94" s="43" t="n">
        <v>0</v>
      </c>
      <c r="AE94" s="36" t="n">
        <f aca="false">AE16</f>
        <v>27.7451797818636</v>
      </c>
      <c r="AF94" s="36" t="n">
        <f aca="false">AE94</f>
        <v>27.7451797818636</v>
      </c>
      <c r="AG94" s="36" t="n">
        <f aca="false">AF94</f>
        <v>27.7451797818636</v>
      </c>
      <c r="AH94" s="36" t="n">
        <f aca="false">AG94</f>
        <v>27.7451797818636</v>
      </c>
      <c r="AI94" s="36" t="n">
        <f aca="false">AH94</f>
        <v>27.7451797818636</v>
      </c>
      <c r="AJ94" s="36" t="n">
        <f aca="false">AI94</f>
        <v>27.7451797818636</v>
      </c>
      <c r="AK94" s="36" t="n">
        <f aca="false">AJ94</f>
        <v>27.7451797818636</v>
      </c>
      <c r="AL94" s="36" t="n">
        <f aca="false">AK94</f>
        <v>27.7451797818636</v>
      </c>
    </row>
    <row r="95" customFormat="false" ht="15" hidden="false" customHeight="false" outlineLevel="0" collapsed="false">
      <c r="A95" s="8" t="s">
        <v>210</v>
      </c>
      <c r="B95" s="14" t="s">
        <v>161</v>
      </c>
      <c r="C95" s="43" t="n">
        <v>0</v>
      </c>
      <c r="D95" s="43" t="n">
        <v>0</v>
      </c>
      <c r="E95" s="43" t="n">
        <v>0</v>
      </c>
      <c r="F95" s="43" t="n">
        <v>0</v>
      </c>
      <c r="G95" s="43" t="n">
        <v>0</v>
      </c>
      <c r="H95" s="43" t="n">
        <v>0</v>
      </c>
      <c r="I95" s="43" t="n">
        <v>0</v>
      </c>
      <c r="J95" s="43" t="n">
        <v>0</v>
      </c>
      <c r="K95" s="43" t="n">
        <v>0</v>
      </c>
      <c r="L95" s="43" t="n">
        <v>0</v>
      </c>
      <c r="M95" s="43" t="n">
        <v>0</v>
      </c>
      <c r="N95" s="43" t="n">
        <v>0</v>
      </c>
      <c r="O95" s="43" t="n">
        <v>0</v>
      </c>
      <c r="P95" s="43" t="n">
        <v>0</v>
      </c>
      <c r="Q95" s="43" t="n">
        <v>0</v>
      </c>
      <c r="R95" s="43" t="n">
        <v>0</v>
      </c>
      <c r="S95" s="43" t="n">
        <v>0</v>
      </c>
      <c r="T95" s="43" t="n">
        <v>0</v>
      </c>
      <c r="U95" s="43" t="n">
        <v>0</v>
      </c>
      <c r="V95" s="43" t="n">
        <v>0</v>
      </c>
      <c r="W95" s="43" t="n">
        <v>0</v>
      </c>
      <c r="X95" s="43" t="n">
        <v>0</v>
      </c>
      <c r="Y95" s="43" t="n">
        <v>0</v>
      </c>
      <c r="Z95" s="43" t="n">
        <v>0</v>
      </c>
      <c r="AA95" s="43" t="n">
        <v>0</v>
      </c>
      <c r="AB95" s="43" t="n">
        <v>0</v>
      </c>
      <c r="AC95" s="43" t="n">
        <v>0</v>
      </c>
      <c r="AD95" s="43" t="n">
        <v>0</v>
      </c>
      <c r="AE95" s="43" t="n">
        <v>0</v>
      </c>
      <c r="AF95" s="36" t="n">
        <f aca="false">AF16</f>
        <v>28.5643809841719</v>
      </c>
      <c r="AG95" s="36" t="n">
        <f aca="false">AF95</f>
        <v>28.5643809841719</v>
      </c>
      <c r="AH95" s="36" t="n">
        <f aca="false">AG95</f>
        <v>28.5643809841719</v>
      </c>
      <c r="AI95" s="36" t="n">
        <f aca="false">AH95</f>
        <v>28.5643809841719</v>
      </c>
      <c r="AJ95" s="36" t="n">
        <f aca="false">AI95</f>
        <v>28.5643809841719</v>
      </c>
      <c r="AK95" s="36" t="n">
        <f aca="false">AJ95</f>
        <v>28.5643809841719</v>
      </c>
      <c r="AL95" s="36" t="n">
        <f aca="false">AK95</f>
        <v>28.5643809841719</v>
      </c>
    </row>
    <row r="96" customFormat="false" ht="15" hidden="false" customHeight="false" outlineLevel="0" collapsed="false">
      <c r="A96" s="8" t="s">
        <v>211</v>
      </c>
      <c r="B96" s="14" t="s">
        <v>161</v>
      </c>
      <c r="C96" s="43" t="n">
        <v>0</v>
      </c>
      <c r="D96" s="43" t="n">
        <v>0</v>
      </c>
      <c r="E96" s="43" t="n">
        <v>0</v>
      </c>
      <c r="F96" s="43" t="n">
        <v>0</v>
      </c>
      <c r="G96" s="43" t="n">
        <v>0</v>
      </c>
      <c r="H96" s="43" t="n">
        <v>0</v>
      </c>
      <c r="I96" s="43" t="n">
        <v>0</v>
      </c>
      <c r="J96" s="43" t="n">
        <v>0</v>
      </c>
      <c r="K96" s="43" t="n">
        <v>0</v>
      </c>
      <c r="L96" s="43" t="n">
        <v>0</v>
      </c>
      <c r="M96" s="43" t="n">
        <v>0</v>
      </c>
      <c r="N96" s="43" t="n">
        <v>0</v>
      </c>
      <c r="O96" s="43" t="n">
        <v>0</v>
      </c>
      <c r="P96" s="43" t="n">
        <v>0</v>
      </c>
      <c r="Q96" s="43" t="n">
        <v>0</v>
      </c>
      <c r="R96" s="43" t="n">
        <v>0</v>
      </c>
      <c r="S96" s="43" t="n">
        <v>0</v>
      </c>
      <c r="T96" s="43" t="n">
        <v>0</v>
      </c>
      <c r="U96" s="43" t="n">
        <v>0</v>
      </c>
      <c r="V96" s="43" t="n">
        <v>0</v>
      </c>
      <c r="W96" s="43" t="n">
        <v>0</v>
      </c>
      <c r="X96" s="43" t="n">
        <v>0</v>
      </c>
      <c r="Y96" s="43" t="n">
        <v>0</v>
      </c>
      <c r="Z96" s="43" t="n">
        <v>0</v>
      </c>
      <c r="AA96" s="43" t="n">
        <v>0</v>
      </c>
      <c r="AB96" s="43" t="n">
        <v>0</v>
      </c>
      <c r="AC96" s="43" t="n">
        <v>0</v>
      </c>
      <c r="AD96" s="43" t="n">
        <v>0</v>
      </c>
      <c r="AE96" s="43" t="n">
        <v>0</v>
      </c>
      <c r="AF96" s="43" t="n">
        <v>0</v>
      </c>
      <c r="AG96" s="36" t="n">
        <f aca="false">AG16</f>
        <v>29.4441499018513</v>
      </c>
      <c r="AH96" s="36" t="n">
        <f aca="false">AG96</f>
        <v>29.4441499018513</v>
      </c>
      <c r="AI96" s="36" t="n">
        <f aca="false">AH96</f>
        <v>29.4441499018513</v>
      </c>
      <c r="AJ96" s="36" t="n">
        <f aca="false">AI96</f>
        <v>29.4441499018513</v>
      </c>
      <c r="AK96" s="36" t="n">
        <f aca="false">AJ96</f>
        <v>29.4441499018513</v>
      </c>
      <c r="AL96" s="36" t="n">
        <f aca="false">AK96</f>
        <v>29.4441499018513</v>
      </c>
    </row>
    <row r="97" customFormat="false" ht="15" hidden="false" customHeight="false" outlineLevel="0" collapsed="false">
      <c r="A97" s="8" t="s">
        <v>212</v>
      </c>
      <c r="B97" s="14" t="s">
        <v>161</v>
      </c>
      <c r="C97" s="43" t="n">
        <v>0</v>
      </c>
      <c r="D97" s="43" t="n">
        <v>0</v>
      </c>
      <c r="E97" s="43" t="n">
        <v>0</v>
      </c>
      <c r="F97" s="43" t="n">
        <v>0</v>
      </c>
      <c r="G97" s="43" t="n">
        <v>0</v>
      </c>
      <c r="H97" s="43" t="n">
        <v>0</v>
      </c>
      <c r="I97" s="43" t="n">
        <v>0</v>
      </c>
      <c r="J97" s="43" t="n">
        <v>0</v>
      </c>
      <c r="K97" s="43" t="n">
        <v>0</v>
      </c>
      <c r="L97" s="43" t="n">
        <v>0</v>
      </c>
      <c r="M97" s="43" t="n">
        <v>0</v>
      </c>
      <c r="N97" s="43" t="n">
        <v>0</v>
      </c>
      <c r="O97" s="43" t="n">
        <v>0</v>
      </c>
      <c r="P97" s="43" t="n">
        <v>0</v>
      </c>
      <c r="Q97" s="43" t="n">
        <v>0</v>
      </c>
      <c r="R97" s="43" t="n">
        <v>0</v>
      </c>
      <c r="S97" s="43" t="n">
        <v>0</v>
      </c>
      <c r="T97" s="43" t="n">
        <v>0</v>
      </c>
      <c r="U97" s="43" t="n">
        <v>0</v>
      </c>
      <c r="V97" s="43" t="n">
        <v>0</v>
      </c>
      <c r="W97" s="43" t="n">
        <v>0</v>
      </c>
      <c r="X97" s="43" t="n">
        <v>0</v>
      </c>
      <c r="Y97" s="43" t="n">
        <v>0</v>
      </c>
      <c r="Z97" s="43" t="n">
        <v>0</v>
      </c>
      <c r="AA97" s="43" t="n">
        <v>0</v>
      </c>
      <c r="AB97" s="43" t="n">
        <v>0</v>
      </c>
      <c r="AC97" s="43" t="n">
        <v>0</v>
      </c>
      <c r="AD97" s="43" t="n">
        <v>0</v>
      </c>
      <c r="AE97" s="43" t="n">
        <v>0</v>
      </c>
      <c r="AF97" s="43" t="n">
        <v>0</v>
      </c>
      <c r="AG97" s="43" t="n">
        <v>0</v>
      </c>
      <c r="AH97" s="36" t="n">
        <f aca="false">AH16</f>
        <v>30.389548924238</v>
      </c>
      <c r="AI97" s="36" t="n">
        <f aca="false">AH97</f>
        <v>30.389548924238</v>
      </c>
      <c r="AJ97" s="36" t="n">
        <f aca="false">AI97</f>
        <v>30.389548924238</v>
      </c>
      <c r="AK97" s="36" t="n">
        <f aca="false">AJ97</f>
        <v>30.389548924238</v>
      </c>
      <c r="AL97" s="36" t="n">
        <f aca="false">AK97</f>
        <v>30.389548924238</v>
      </c>
    </row>
    <row r="98" customFormat="false" ht="15" hidden="false" customHeight="false" outlineLevel="0" collapsed="false">
      <c r="A98" s="8" t="s">
        <v>213</v>
      </c>
      <c r="B98" s="14" t="s">
        <v>161</v>
      </c>
      <c r="C98" s="43" t="n">
        <v>0</v>
      </c>
      <c r="D98" s="43" t="n">
        <v>0</v>
      </c>
      <c r="E98" s="43" t="n">
        <v>0</v>
      </c>
      <c r="F98" s="43" t="n">
        <v>0</v>
      </c>
      <c r="G98" s="43" t="n">
        <v>0</v>
      </c>
      <c r="H98" s="43" t="n">
        <v>0</v>
      </c>
      <c r="I98" s="43" t="n">
        <v>0</v>
      </c>
      <c r="J98" s="43" t="n">
        <v>0</v>
      </c>
      <c r="K98" s="43" t="n">
        <v>0</v>
      </c>
      <c r="L98" s="43" t="n">
        <v>0</v>
      </c>
      <c r="M98" s="43" t="n">
        <v>0</v>
      </c>
      <c r="N98" s="43" t="n">
        <v>0</v>
      </c>
      <c r="O98" s="43" t="n">
        <v>0</v>
      </c>
      <c r="P98" s="43" t="n">
        <v>0</v>
      </c>
      <c r="Q98" s="43" t="n">
        <v>0</v>
      </c>
      <c r="R98" s="43" t="n">
        <v>0</v>
      </c>
      <c r="S98" s="43" t="n">
        <v>0</v>
      </c>
      <c r="T98" s="43" t="n">
        <v>0</v>
      </c>
      <c r="U98" s="43" t="n">
        <v>0</v>
      </c>
      <c r="V98" s="43" t="n">
        <v>0</v>
      </c>
      <c r="W98" s="43" t="n">
        <v>0</v>
      </c>
      <c r="X98" s="43" t="n">
        <v>0</v>
      </c>
      <c r="Y98" s="43" t="n">
        <v>0</v>
      </c>
      <c r="Z98" s="43" t="n">
        <v>0</v>
      </c>
      <c r="AA98" s="43" t="n">
        <v>0</v>
      </c>
      <c r="AB98" s="43" t="n">
        <v>0</v>
      </c>
      <c r="AC98" s="43" t="n">
        <v>0</v>
      </c>
      <c r="AD98" s="43" t="n">
        <v>0</v>
      </c>
      <c r="AE98" s="43" t="n">
        <v>0</v>
      </c>
      <c r="AF98" s="43" t="n">
        <v>0</v>
      </c>
      <c r="AG98" s="43" t="n">
        <v>0</v>
      </c>
      <c r="AH98" s="43" t="n">
        <v>0</v>
      </c>
      <c r="AI98" s="36" t="n">
        <f aca="false">AI16</f>
        <v>31.4060318221582</v>
      </c>
      <c r="AJ98" s="36" t="n">
        <f aca="false">AI98</f>
        <v>31.4060318221582</v>
      </c>
      <c r="AK98" s="36" t="n">
        <f aca="false">AJ98</f>
        <v>31.4060318221582</v>
      </c>
      <c r="AL98" s="36" t="n">
        <f aca="false">AK98</f>
        <v>31.4060318221582</v>
      </c>
    </row>
    <row r="99" customFormat="false" ht="15" hidden="false" customHeight="false" outlineLevel="0" collapsed="false">
      <c r="A99" s="8" t="s">
        <v>214</v>
      </c>
      <c r="B99" s="14" t="s">
        <v>161</v>
      </c>
      <c r="C99" s="43" t="n">
        <v>0</v>
      </c>
      <c r="D99" s="43" t="n">
        <v>0</v>
      </c>
      <c r="E99" s="43" t="n">
        <v>0</v>
      </c>
      <c r="F99" s="43" t="n">
        <v>0</v>
      </c>
      <c r="G99" s="43" t="n">
        <v>0</v>
      </c>
      <c r="H99" s="43" t="n">
        <v>0</v>
      </c>
      <c r="I99" s="43" t="n">
        <v>0</v>
      </c>
      <c r="J99" s="43" t="n">
        <v>0</v>
      </c>
      <c r="K99" s="43" t="n">
        <v>0</v>
      </c>
      <c r="L99" s="43" t="n">
        <v>0</v>
      </c>
      <c r="M99" s="43" t="n">
        <v>0</v>
      </c>
      <c r="N99" s="43" t="n">
        <v>0</v>
      </c>
      <c r="O99" s="43" t="n">
        <v>0</v>
      </c>
      <c r="P99" s="43" t="n">
        <v>0</v>
      </c>
      <c r="Q99" s="43" t="n">
        <v>0</v>
      </c>
      <c r="R99" s="43" t="n">
        <v>0</v>
      </c>
      <c r="S99" s="43" t="n">
        <v>0</v>
      </c>
      <c r="T99" s="43" t="n">
        <v>0</v>
      </c>
      <c r="U99" s="43" t="n">
        <v>0</v>
      </c>
      <c r="V99" s="43" t="n">
        <v>0</v>
      </c>
      <c r="W99" s="43" t="n">
        <v>0</v>
      </c>
      <c r="X99" s="43" t="n">
        <v>0</v>
      </c>
      <c r="Y99" s="43" t="n">
        <v>0</v>
      </c>
      <c r="Z99" s="43" t="n">
        <v>0</v>
      </c>
      <c r="AA99" s="43" t="n">
        <v>0</v>
      </c>
      <c r="AB99" s="43" t="n">
        <v>0</v>
      </c>
      <c r="AC99" s="43" t="n">
        <v>0</v>
      </c>
      <c r="AD99" s="43" t="n">
        <v>0</v>
      </c>
      <c r="AE99" s="43" t="n">
        <v>0</v>
      </c>
      <c r="AF99" s="43" t="n">
        <v>0</v>
      </c>
      <c r="AG99" s="43" t="n">
        <v>0</v>
      </c>
      <c r="AH99" s="43" t="n">
        <v>0</v>
      </c>
      <c r="AI99" s="43" t="n">
        <v>0</v>
      </c>
      <c r="AJ99" s="36" t="n">
        <f aca="false">AJ16</f>
        <v>31.7558211068618</v>
      </c>
      <c r="AK99" s="36" t="n">
        <f aca="false">AJ99</f>
        <v>31.7558211068618</v>
      </c>
      <c r="AL99" s="36" t="n">
        <f aca="false">AK99</f>
        <v>31.7558211068618</v>
      </c>
    </row>
    <row r="100" customFormat="false" ht="15" hidden="false" customHeight="false" outlineLevel="0" collapsed="false">
      <c r="A100" s="8" t="s">
        <v>215</v>
      </c>
      <c r="B100" s="14" t="s">
        <v>161</v>
      </c>
      <c r="C100" s="43" t="n">
        <v>0</v>
      </c>
      <c r="D100" s="43" t="n">
        <v>0</v>
      </c>
      <c r="E100" s="43" t="n">
        <v>0</v>
      </c>
      <c r="F100" s="43" t="n">
        <v>0</v>
      </c>
      <c r="G100" s="43" t="n">
        <v>0</v>
      </c>
      <c r="H100" s="43" t="n">
        <v>0</v>
      </c>
      <c r="I100" s="43" t="n">
        <v>0</v>
      </c>
      <c r="J100" s="43" t="n">
        <v>0</v>
      </c>
      <c r="K100" s="43" t="n">
        <v>0</v>
      </c>
      <c r="L100" s="43" t="n">
        <v>0</v>
      </c>
      <c r="M100" s="43" t="n">
        <v>0</v>
      </c>
      <c r="N100" s="43" t="n">
        <v>0</v>
      </c>
      <c r="O100" s="43" t="n">
        <v>0</v>
      </c>
      <c r="P100" s="43" t="n">
        <v>0</v>
      </c>
      <c r="Q100" s="43" t="n">
        <v>0</v>
      </c>
      <c r="R100" s="43" t="n">
        <v>0</v>
      </c>
      <c r="S100" s="43" t="n">
        <v>0</v>
      </c>
      <c r="T100" s="43" t="n">
        <v>0</v>
      </c>
      <c r="U100" s="43" t="n">
        <v>0</v>
      </c>
      <c r="V100" s="43" t="n">
        <v>0</v>
      </c>
      <c r="W100" s="43" t="n">
        <v>0</v>
      </c>
      <c r="X100" s="43" t="n">
        <v>0</v>
      </c>
      <c r="Y100" s="43" t="n">
        <v>0</v>
      </c>
      <c r="Z100" s="43" t="n">
        <v>0</v>
      </c>
      <c r="AA100" s="43" t="n">
        <v>0</v>
      </c>
      <c r="AB100" s="43" t="n">
        <v>0</v>
      </c>
      <c r="AC100" s="43" t="n">
        <v>0</v>
      </c>
      <c r="AD100" s="43" t="n">
        <v>0</v>
      </c>
      <c r="AE100" s="43" t="n">
        <v>0</v>
      </c>
      <c r="AF100" s="43" t="n">
        <v>0</v>
      </c>
      <c r="AG100" s="43" t="n">
        <v>0</v>
      </c>
      <c r="AH100" s="43" t="n">
        <v>0</v>
      </c>
      <c r="AI100" s="43" t="n">
        <v>0</v>
      </c>
      <c r="AJ100" s="43" t="n">
        <v>0</v>
      </c>
      <c r="AK100" s="36" t="n">
        <f aca="false">AK16</f>
        <v>31.8146144570451</v>
      </c>
      <c r="AL100" s="36" t="n">
        <f aca="false">AK100</f>
        <v>31.8146144570451</v>
      </c>
    </row>
    <row r="101" customFormat="false" ht="15" hidden="false" customHeight="false" outlineLevel="0" collapsed="false">
      <c r="A101" s="8" t="s">
        <v>216</v>
      </c>
      <c r="B101" s="14" t="s">
        <v>161</v>
      </c>
      <c r="C101" s="43" t="n">
        <v>0</v>
      </c>
      <c r="D101" s="43" t="n">
        <v>0</v>
      </c>
      <c r="E101" s="43" t="n">
        <v>0</v>
      </c>
      <c r="F101" s="43" t="n">
        <v>0</v>
      </c>
      <c r="G101" s="43" t="n">
        <v>0</v>
      </c>
      <c r="H101" s="43" t="n">
        <v>0</v>
      </c>
      <c r="I101" s="43" t="n">
        <v>0</v>
      </c>
      <c r="J101" s="43" t="n">
        <v>0</v>
      </c>
      <c r="K101" s="43" t="n">
        <v>0</v>
      </c>
      <c r="L101" s="43" t="n">
        <v>0</v>
      </c>
      <c r="M101" s="43" t="n">
        <v>0</v>
      </c>
      <c r="N101" s="43" t="n">
        <v>0</v>
      </c>
      <c r="O101" s="43" t="n">
        <v>0</v>
      </c>
      <c r="P101" s="43" t="n">
        <v>0</v>
      </c>
      <c r="Q101" s="43" t="n">
        <v>0</v>
      </c>
      <c r="R101" s="43" t="n">
        <v>0</v>
      </c>
      <c r="S101" s="43" t="n">
        <v>0</v>
      </c>
      <c r="T101" s="43" t="n">
        <v>0</v>
      </c>
      <c r="U101" s="43" t="n">
        <v>0</v>
      </c>
      <c r="V101" s="43" t="n">
        <v>0</v>
      </c>
      <c r="W101" s="43" t="n">
        <v>0</v>
      </c>
      <c r="X101" s="43" t="n">
        <v>0</v>
      </c>
      <c r="Y101" s="43" t="n">
        <v>0</v>
      </c>
      <c r="Z101" s="43" t="n">
        <v>0</v>
      </c>
      <c r="AA101" s="43" t="n">
        <v>0</v>
      </c>
      <c r="AB101" s="43" t="n">
        <v>0</v>
      </c>
      <c r="AC101" s="43" t="n">
        <v>0</v>
      </c>
      <c r="AD101" s="43" t="n">
        <v>0</v>
      </c>
      <c r="AE101" s="43" t="n">
        <v>0</v>
      </c>
      <c r="AF101" s="43" t="n">
        <v>0</v>
      </c>
      <c r="AG101" s="43" t="n">
        <v>0</v>
      </c>
      <c r="AH101" s="43" t="n">
        <v>0</v>
      </c>
      <c r="AI101" s="43" t="n">
        <v>0</v>
      </c>
      <c r="AJ101" s="43" t="n">
        <v>0</v>
      </c>
      <c r="AK101" s="43" t="n">
        <v>0</v>
      </c>
      <c r="AL101" s="36" t="n">
        <f aca="false">AL16</f>
        <v>31.870722759602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5"/>
    <col collapsed="false" customWidth="true" hidden="false" outlineLevel="0" max="38" min="3" style="0" width="11"/>
  </cols>
  <sheetData>
    <row r="2" customFormat="false" ht="17.35" hidden="false" customHeight="false" outlineLevel="0" collapsed="false">
      <c r="A2" s="1" t="s">
        <v>218</v>
      </c>
    </row>
    <row r="3" customFormat="false" ht="15" hidden="false" customHeight="false" outlineLevel="0" collapsed="false">
      <c r="A3" s="2" t="s">
        <v>219</v>
      </c>
    </row>
    <row r="5" customFormat="false" ht="15" hidden="false" customHeight="false" outlineLevel="0" collapsed="false">
      <c r="A5" s="5" t="s">
        <v>160</v>
      </c>
      <c r="B5" s="14" t="s">
        <v>161</v>
      </c>
      <c r="C5" s="33" t="n">
        <v>1</v>
      </c>
      <c r="D5" s="33" t="n">
        <v>2</v>
      </c>
      <c r="E5" s="33" t="n">
        <v>3</v>
      </c>
      <c r="F5" s="33" t="n">
        <v>4</v>
      </c>
      <c r="G5" s="33" t="n">
        <v>5</v>
      </c>
      <c r="H5" s="33" t="n">
        <v>6</v>
      </c>
      <c r="I5" s="33" t="n">
        <v>7</v>
      </c>
      <c r="J5" s="33" t="n">
        <v>8</v>
      </c>
      <c r="K5" s="33" t="n">
        <v>9</v>
      </c>
      <c r="L5" s="33" t="n">
        <v>10</v>
      </c>
      <c r="M5" s="33" t="n">
        <v>11</v>
      </c>
      <c r="N5" s="33" t="n">
        <v>12</v>
      </c>
      <c r="O5" s="33" t="n">
        <v>13</v>
      </c>
      <c r="P5" s="33" t="n">
        <v>14</v>
      </c>
      <c r="Q5" s="33" t="n">
        <v>15</v>
      </c>
      <c r="R5" s="33" t="n">
        <v>16</v>
      </c>
      <c r="S5" s="33" t="n">
        <v>17</v>
      </c>
      <c r="T5" s="33" t="n">
        <v>18</v>
      </c>
      <c r="U5" s="33" t="n">
        <v>19</v>
      </c>
      <c r="V5" s="33" t="n">
        <v>20</v>
      </c>
      <c r="W5" s="33" t="n">
        <v>21</v>
      </c>
      <c r="X5" s="33" t="n">
        <v>22</v>
      </c>
      <c r="Y5" s="33" t="n">
        <v>23</v>
      </c>
      <c r="Z5" s="33" t="n">
        <v>24</v>
      </c>
      <c r="AA5" s="33" t="n">
        <v>25</v>
      </c>
      <c r="AB5" s="33" t="n">
        <v>26</v>
      </c>
      <c r="AC5" s="33" t="n">
        <v>27</v>
      </c>
      <c r="AD5" s="33" t="n">
        <v>28</v>
      </c>
      <c r="AE5" s="33" t="n">
        <v>29</v>
      </c>
      <c r="AF5" s="33" t="n">
        <v>30</v>
      </c>
      <c r="AG5" s="33" t="n">
        <v>31</v>
      </c>
      <c r="AH5" s="33" t="n">
        <v>32</v>
      </c>
      <c r="AI5" s="33" t="n">
        <v>33</v>
      </c>
      <c r="AJ5" s="33" t="n">
        <v>34</v>
      </c>
      <c r="AK5" s="33" t="n">
        <v>35</v>
      </c>
      <c r="AL5" s="33" t="n">
        <v>36</v>
      </c>
    </row>
    <row r="7" customFormat="false" ht="15" hidden="false" customHeight="false" outlineLevel="0" collapsed="false">
      <c r="A7" s="3" t="s">
        <v>220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customFormat="false" ht="15" hidden="false" customHeight="false" outlineLevel="0" collapsed="false">
      <c r="A8" s="8" t="s">
        <v>221</v>
      </c>
      <c r="B8" s="14" t="s">
        <v>161</v>
      </c>
      <c r="C8" s="44" t="n">
        <f aca="false">Cohorts!C19</f>
        <v>7.92</v>
      </c>
      <c r="D8" s="44" t="n">
        <f aca="false">Cohorts!D19</f>
        <v>16.165336</v>
      </c>
      <c r="E8" s="44" t="n">
        <f aca="false">Cohorts!E19</f>
        <v>24.7967230808</v>
      </c>
      <c r="F8" s="44" t="n">
        <f aca="false">Cohorts!F19</f>
        <v>33.8797820214242</v>
      </c>
      <c r="G8" s="44" t="n">
        <f aca="false">Cohorts!G19</f>
        <v>43.4856736815491</v>
      </c>
      <c r="H8" s="44" t="n">
        <f aca="false">Cohorts!H19</f>
        <v>53.6917996154969</v>
      </c>
      <c r="I8" s="44" t="n">
        <f aca="false">Cohorts!I19</f>
        <v>64.582576851685</v>
      </c>
      <c r="J8" s="44" t="n">
        <f aca="false">Cohorts!J19</f>
        <v>76.2502956777439</v>
      </c>
      <c r="K8" s="44" t="n">
        <f aca="false">Cohorts!K19</f>
        <v>88.7960702855074</v>
      </c>
      <c r="L8" s="44" t="n">
        <f aca="false">Cohorts!L19</f>
        <v>102.330893264406</v>
      </c>
      <c r="M8" s="44" t="n">
        <f aca="false">Cohorts!M19</f>
        <v>116.976806200671</v>
      </c>
      <c r="N8" s="44" t="n">
        <f aca="false">Cohorts!N19</f>
        <v>132.868200059069</v>
      </c>
      <c r="O8" s="44" t="n">
        <f aca="false">Cohorts!O19</f>
        <v>150.153260611373</v>
      </c>
      <c r="P8" s="44" t="n">
        <f aca="false">Cohorts!P19</f>
        <v>168.994007791456</v>
      </c>
      <c r="Q8" s="44" t="n">
        <f aca="false">Cohorts!Q19</f>
        <v>189.571151051392</v>
      </c>
      <c r="R8" s="44" t="n">
        <f aca="false">Cohorts!R19</f>
        <v>212.08456977731</v>
      </c>
      <c r="S8" s="44" t="n">
        <f aca="false">Cohorts!S19</f>
        <v>236.755529353216</v>
      </c>
      <c r="T8" s="44" t="n">
        <f aca="false">Cohorts!T19</f>
        <v>263.829149700142</v>
      </c>
      <c r="U8" s="44" t="n">
        <f aca="false">Cohorts!U19</f>
        <v>293.577155896177</v>
      </c>
      <c r="V8" s="44" t="n">
        <f aca="false">Cohorts!V19</f>
        <v>326.300943958282</v>
      </c>
      <c r="W8" s="44" t="n">
        <f aca="false">Cohorts!W19</f>
        <v>362.334998754145</v>
      </c>
      <c r="X8" s="44" t="n">
        <f aca="false">Cohorts!X19</f>
        <v>402.050705360812</v>
      </c>
      <c r="Y8" s="44" t="n">
        <f aca="false">Cohorts!Y19</f>
        <v>445.860600051284</v>
      </c>
      <c r="Z8" s="44" t="n">
        <f aca="false">Cohorts!Z19</f>
        <v>494.223112531935</v>
      </c>
      <c r="AA8" s="44" t="n">
        <f aca="false">Cohorts!AA19</f>
        <v>547.647857141373</v>
      </c>
      <c r="AB8" s="44" t="n">
        <f aca="false">Cohorts!AB19</f>
        <v>606.700439819948</v>
      </c>
      <c r="AC8" s="44" t="n">
        <f aca="false">Cohorts!AC19</f>
        <v>672.011195435258</v>
      </c>
      <c r="AD8" s="44" t="n">
        <f aca="false">Cohorts!AD19</f>
        <v>739.617906294082</v>
      </c>
      <c r="AE8" s="44" t="n">
        <f aca="false">Cohorts!AE19</f>
        <v>806.221551043891</v>
      </c>
      <c r="AF8" s="44" t="n">
        <f aca="false">Cohorts!AF19</f>
        <v>872.105781917945</v>
      </c>
      <c r="AG8" s="44" t="n">
        <f aca="false">Cohorts!AG19</f>
        <v>937.556034610274</v>
      </c>
      <c r="AH8" s="44" t="n">
        <f aca="false">Cohorts!AH19</f>
        <v>1002.86086823061</v>
      </c>
      <c r="AI8" s="44" t="n">
        <f aca="false">Cohorts!AI19</f>
        <v>1068.31334342541</v>
      </c>
      <c r="AJ8" s="44" t="n">
        <f aca="false">Cohorts!AJ19</f>
        <v>1131.23782724733</v>
      </c>
      <c r="AK8" s="44" t="n">
        <f aca="false">Cohorts!AK19</f>
        <v>1190.62201544067</v>
      </c>
      <c r="AL8" s="44" t="n">
        <f aca="false">Cohorts!AL19</f>
        <v>1246.66758555264</v>
      </c>
    </row>
    <row r="9" customFormat="false" ht="15" hidden="false" customHeight="false" outlineLevel="0" collapsed="false">
      <c r="A9" s="8" t="s">
        <v>222</v>
      </c>
      <c r="B9" s="14" t="s">
        <v>161</v>
      </c>
      <c r="C9" s="44" t="n">
        <f aca="false">Cohorts!C23</f>
        <v>1.98</v>
      </c>
      <c r="D9" s="44" t="n">
        <f aca="false">Cohorts!D23</f>
        <v>2.180134</v>
      </c>
      <c r="E9" s="44" t="n">
        <f aca="false">Cohorts!E23</f>
        <v>2.4003268102</v>
      </c>
      <c r="F9" s="44" t="n">
        <f aca="false">Cohorts!F23</f>
        <v>2.64271558136806</v>
      </c>
      <c r="G9" s="44" t="n">
        <f aca="false">Cohorts!G23</f>
        <v>2.90966964535258</v>
      </c>
      <c r="H9" s="44" t="n">
        <f aca="false">Cohorts!H23</f>
        <v>3.20381658871019</v>
      </c>
      <c r="I9" s="44" t="n">
        <f aca="false">Cohorts!I23</f>
        <v>3.52807130327947</v>
      </c>
      <c r="J9" s="44" t="n">
        <f aca="false">Cohorts!J23</f>
        <v>3.88566835929002</v>
      </c>
      <c r="K9" s="44" t="n">
        <f aca="false">Cohorts!K23</f>
        <v>4.28019808710703</v>
      </c>
      <c r="L9" s="44" t="n">
        <f aca="false">Cohorts!L23</f>
        <v>4.71564679900718</v>
      </c>
      <c r="M9" s="44" t="n">
        <f aca="false">Cohorts!M23</f>
        <v>5.19644163303253</v>
      </c>
      <c r="N9" s="44" t="n">
        <f aca="false">Cohorts!N23</f>
        <v>5.72750055760942</v>
      </c>
      <c r="O9" s="44" t="n">
        <f aca="false">Cohorts!O23</f>
        <v>7.70028813896208</v>
      </c>
      <c r="P9" s="44" t="n">
        <f aca="false">Cohorts!P23</f>
        <v>8.48857950419135</v>
      </c>
      <c r="Q9" s="44" t="n">
        <f aca="false">Cohorts!Q23</f>
        <v>9.35942469899596</v>
      </c>
      <c r="R9" s="44" t="n">
        <f aca="false">Cohorts!R23</f>
        <v>10.3218228542078</v>
      </c>
      <c r="S9" s="44" t="n">
        <f aca="false">Cohorts!S23</f>
        <v>11.3857771923832</v>
      </c>
      <c r="T9" s="44" t="n">
        <f aca="false">Cohorts!T23</f>
        <v>12.5624096391269</v>
      </c>
      <c r="U9" s="44" t="n">
        <f aca="false">Cohorts!U23</f>
        <v>13.8640887068064</v>
      </c>
      <c r="V9" s="44" t="n">
        <f aca="false">Cohorts!V23</f>
        <v>15.304572205472</v>
      </c>
      <c r="W9" s="44" t="n">
        <f aca="false">Cohorts!W23</f>
        <v>16.8991665193147</v>
      </c>
      <c r="X9" s="44" t="n">
        <f aca="false">Cohorts!X23</f>
        <v>18.6649043922839</v>
      </c>
      <c r="Y9" s="44" t="n">
        <f aca="false">Cohorts!Y23</f>
        <v>20.6207433961529</v>
      </c>
      <c r="Z9" s="44" t="n">
        <f aca="false">Cohorts!Z23</f>
        <v>22.7877875112588</v>
      </c>
      <c r="AA9" s="44" t="n">
        <f aca="false">Cohorts!AA23</f>
        <v>26.1597345376118</v>
      </c>
      <c r="AB9" s="44" t="n">
        <f aca="false">Cohorts!AB23</f>
        <v>28.9198691796983</v>
      </c>
      <c r="AC9" s="44" t="n">
        <f aca="false">Cohorts!AC23</f>
        <v>31.979792790424</v>
      </c>
      <c r="AD9" s="44" t="n">
        <f aca="false">Cohorts!AD23</f>
        <v>34.2071216441803</v>
      </c>
      <c r="AE9" s="44" t="n">
        <f aca="false">Cohorts!AE23</f>
        <v>35.7152238165318</v>
      </c>
      <c r="AF9" s="44" t="n">
        <f aca="false">Cohorts!AF23</f>
        <v>37.3580677315607</v>
      </c>
      <c r="AG9" s="44" t="n">
        <f aca="false">Cohorts!AG23</f>
        <v>39.1490119966158</v>
      </c>
      <c r="AH9" s="44" t="n">
        <f aca="false">Cohorts!AH23</f>
        <v>41.1027494680684</v>
      </c>
      <c r="AI9" s="44" t="n">
        <f aca="false">Cohorts!AI23</f>
        <v>43.2354483856786</v>
      </c>
      <c r="AJ9" s="44" t="n">
        <f aca="false">Cohorts!AJ23</f>
        <v>44.8212541814606</v>
      </c>
      <c r="AK9" s="44" t="n">
        <f aca="false">Cohorts!AK23</f>
        <v>46.2491348343522</v>
      </c>
      <c r="AL9" s="44" t="n">
        <f aca="false">Cohorts!AL23</f>
        <v>47.8221740174831</v>
      </c>
    </row>
    <row r="10" customFormat="false" ht="15" hidden="false" customHeight="false" outlineLevel="0" collapsed="false">
      <c r="A10" s="8" t="s">
        <v>223</v>
      </c>
      <c r="B10" s="14" t="s">
        <v>84</v>
      </c>
      <c r="C10" s="34" t="n">
        <f aca="false">C8*Assumptions!$F$46</f>
        <v>95.04</v>
      </c>
      <c r="D10" s="34" t="n">
        <f aca="false">D8*Assumptions!$F$46</f>
        <v>193.984032</v>
      </c>
      <c r="E10" s="34" t="n">
        <f aca="false">E8*Assumptions!$F$46</f>
        <v>297.5606769696</v>
      </c>
      <c r="F10" s="34" t="n">
        <f aca="false">F8*Assumptions!$F$46</f>
        <v>406.557384257091</v>
      </c>
      <c r="G10" s="34" t="n">
        <f aca="false">G8*Assumptions!$F$46</f>
        <v>521.828084178589</v>
      </c>
      <c r="H10" s="34" t="n">
        <f aca="false">H8*Assumptions!$F$46</f>
        <v>644.301595385963</v>
      </c>
      <c r="I10" s="34" t="n">
        <f aca="false">I8*Assumptions!$F$46</f>
        <v>774.99092222022</v>
      </c>
      <c r="J10" s="34" t="n">
        <f aca="false">J8*Assumptions!$F$46</f>
        <v>915.003548132927</v>
      </c>
      <c r="K10" s="34" t="n">
        <f aca="false">K8*Assumptions!$F$46</f>
        <v>1065.55284342609</v>
      </c>
      <c r="L10" s="34" t="n">
        <f aca="false">L8*Assumptions!$F$46</f>
        <v>1227.97071917287</v>
      </c>
      <c r="M10" s="34" t="n">
        <f aca="false">M8*Assumptions!$F$46</f>
        <v>1403.72167440806</v>
      </c>
      <c r="N10" s="34" t="n">
        <f aca="false">N8*Assumptions!$F$46</f>
        <v>1594.41840070883</v>
      </c>
      <c r="O10" s="34" t="n">
        <f aca="false">O8*Assumptions!$F$46</f>
        <v>1801.83912733648</v>
      </c>
      <c r="P10" s="34" t="n">
        <f aca="false">P8*Assumptions!$F$46</f>
        <v>2027.92809349747</v>
      </c>
      <c r="Q10" s="34" t="n">
        <f aca="false">Q8*Assumptions!$F$46</f>
        <v>2274.85381261671</v>
      </c>
      <c r="R10" s="34" t="n">
        <f aca="false">R8*Assumptions!$F$46</f>
        <v>2545.01483732772</v>
      </c>
      <c r="S10" s="34" t="n">
        <f aca="false">S8*Assumptions!$F$46</f>
        <v>2841.0663522386</v>
      </c>
      <c r="T10" s="34" t="n">
        <f aca="false">T8*Assumptions!$F$46</f>
        <v>3165.94979640171</v>
      </c>
      <c r="U10" s="34" t="n">
        <f aca="false">U8*Assumptions!$F$46</f>
        <v>3522.92587075412</v>
      </c>
      <c r="V10" s="34" t="n">
        <f aca="false">V8*Assumptions!$F$46</f>
        <v>3915.61132749939</v>
      </c>
      <c r="W10" s="34" t="n">
        <f aca="false">W8*Assumptions!$F$46</f>
        <v>4348.01998504974</v>
      </c>
      <c r="X10" s="34" t="n">
        <f aca="false">X8*Assumptions!$F$46</f>
        <v>4824.60846432974</v>
      </c>
      <c r="Y10" s="34" t="n">
        <f aca="false">Y8*Assumptions!$F$46</f>
        <v>5350.3272006154</v>
      </c>
      <c r="Z10" s="34" t="n">
        <f aca="false">Z8*Assumptions!$F$46</f>
        <v>5930.67735038323</v>
      </c>
      <c r="AA10" s="34" t="n">
        <f aca="false">AA8*Assumptions!$F$46</f>
        <v>6571.77428569647</v>
      </c>
      <c r="AB10" s="34" t="n">
        <f aca="false">AB8*Assumptions!$F$46</f>
        <v>7280.40527783937</v>
      </c>
      <c r="AC10" s="34" t="n">
        <f aca="false">AC8*Assumptions!$F$46</f>
        <v>8064.1343452231</v>
      </c>
      <c r="AD10" s="34" t="n">
        <f aca="false">AD8*Assumptions!$F$46</f>
        <v>8875.41487552898</v>
      </c>
      <c r="AE10" s="34" t="n">
        <f aca="false">AE8*Assumptions!$F$46</f>
        <v>9674.6586125267</v>
      </c>
      <c r="AF10" s="34" t="n">
        <f aca="false">AF8*Assumptions!$F$46</f>
        <v>10465.2693830153</v>
      </c>
      <c r="AG10" s="34" t="n">
        <f aca="false">AG8*Assumptions!$F$46</f>
        <v>11250.6724153233</v>
      </c>
      <c r="AH10" s="34" t="n">
        <f aca="false">AH8*Assumptions!$F$46</f>
        <v>12034.3304187673</v>
      </c>
      <c r="AI10" s="34" t="n">
        <f aca="false">AI8*Assumptions!$F$46</f>
        <v>12819.7601211049</v>
      </c>
      <c r="AJ10" s="34" t="n">
        <f aca="false">AJ8*Assumptions!$F$46</f>
        <v>13574.8539269679</v>
      </c>
      <c r="AK10" s="34" t="n">
        <f aca="false">AK8*Assumptions!$F$46</f>
        <v>14287.464185288</v>
      </c>
      <c r="AL10" s="34" t="n">
        <f aca="false">AL8*Assumptions!$F$46</f>
        <v>14960.0110266316</v>
      </c>
    </row>
    <row r="11" customFormat="false" ht="15" hidden="false" customHeight="false" outlineLevel="0" collapsed="false">
      <c r="A11" s="8" t="s">
        <v>224</v>
      </c>
      <c r="B11" s="14" t="s">
        <v>84</v>
      </c>
      <c r="C11" s="34" t="n">
        <f aca="false">C9*Assumptions!$F$49</f>
        <v>237.6</v>
      </c>
      <c r="D11" s="34" t="n">
        <f aca="false">D9*Assumptions!$F$49</f>
        <v>261.61608</v>
      </c>
      <c r="E11" s="34" t="n">
        <f aca="false">E9*Assumptions!$F$49</f>
        <v>288.039217224</v>
      </c>
      <c r="F11" s="34" t="n">
        <f aca="false">F9*Assumptions!$F$49</f>
        <v>317.125869764167</v>
      </c>
      <c r="G11" s="34" t="n">
        <f aca="false">G9*Assumptions!$F$49</f>
        <v>349.160357442309</v>
      </c>
      <c r="H11" s="34" t="n">
        <f aca="false">H9*Assumptions!$F$49</f>
        <v>384.457990645223</v>
      </c>
      <c r="I11" s="34" t="n">
        <f aca="false">I9*Assumptions!$F$49</f>
        <v>423.368556393536</v>
      </c>
      <c r="J11" s="34" t="n">
        <f aca="false">J9*Assumptions!$F$49</f>
        <v>466.280203114802</v>
      </c>
      <c r="K11" s="34" t="n">
        <f aca="false">K9*Assumptions!$F$49</f>
        <v>513.623770452843</v>
      </c>
      <c r="L11" s="34" t="n">
        <f aca="false">L9*Assumptions!$F$49</f>
        <v>565.877615880862</v>
      </c>
      <c r="M11" s="34" t="n">
        <f aca="false">M9*Assumptions!$F$49</f>
        <v>623.572995963903</v>
      </c>
      <c r="N11" s="34" t="n">
        <f aca="false">N9*Assumptions!$F$49</f>
        <v>687.300066913131</v>
      </c>
      <c r="O11" s="34" t="n">
        <f aca="false">O9*Assumptions!$F$49</f>
        <v>924.034576675449</v>
      </c>
      <c r="P11" s="34" t="n">
        <f aca="false">P9*Assumptions!$F$49</f>
        <v>1018.62954050296</v>
      </c>
      <c r="Q11" s="34" t="n">
        <f aca="false">Q9*Assumptions!$F$49</f>
        <v>1123.13096387952</v>
      </c>
      <c r="R11" s="34" t="n">
        <f aca="false">R9*Assumptions!$F$49</f>
        <v>1238.61874250494</v>
      </c>
      <c r="S11" s="34" t="n">
        <f aca="false">S9*Assumptions!$F$49</f>
        <v>1366.29326308598</v>
      </c>
      <c r="T11" s="34" t="n">
        <f aca="false">T9*Assumptions!$F$49</f>
        <v>1507.48915669523</v>
      </c>
      <c r="U11" s="34" t="n">
        <f aca="false">U9*Assumptions!$F$49</f>
        <v>1663.69064481677</v>
      </c>
      <c r="V11" s="34" t="n">
        <f aca="false">V9*Assumptions!$F$49</f>
        <v>1836.54866465665</v>
      </c>
      <c r="W11" s="34" t="n">
        <f aca="false">W9*Assumptions!$F$49</f>
        <v>2027.89998231777</v>
      </c>
      <c r="X11" s="34" t="n">
        <f aca="false">X9*Assumptions!$F$49</f>
        <v>2239.78852707407</v>
      </c>
      <c r="Y11" s="34" t="n">
        <f aca="false">Y9*Assumptions!$F$49</f>
        <v>2474.48920753835</v>
      </c>
      <c r="Z11" s="34" t="n">
        <f aca="false">Z9*Assumptions!$F$49</f>
        <v>2734.53450135106</v>
      </c>
      <c r="AA11" s="34" t="n">
        <f aca="false">AA9*Assumptions!$F$49</f>
        <v>3139.16814451342</v>
      </c>
      <c r="AB11" s="34" t="n">
        <f aca="false">AB9*Assumptions!$F$49</f>
        <v>3470.38430156379</v>
      </c>
      <c r="AC11" s="34" t="n">
        <f aca="false">AC9*Assumptions!$F$49</f>
        <v>3837.57513485087</v>
      </c>
      <c r="AD11" s="34" t="n">
        <f aca="false">AD9*Assumptions!$F$49</f>
        <v>4104.85459730164</v>
      </c>
      <c r="AE11" s="34" t="n">
        <f aca="false">AE9*Assumptions!$F$49</f>
        <v>4285.82685798382</v>
      </c>
      <c r="AF11" s="34" t="n">
        <f aca="false">AF9*Assumptions!$F$49</f>
        <v>4482.96812778728</v>
      </c>
      <c r="AG11" s="34" t="n">
        <f aca="false">AG9*Assumptions!$F$49</f>
        <v>4697.88143959389</v>
      </c>
      <c r="AH11" s="34" t="n">
        <f aca="false">AH9*Assumptions!$F$49</f>
        <v>4932.32993616821</v>
      </c>
      <c r="AI11" s="34" t="n">
        <f aca="false">AI9*Assumptions!$F$49</f>
        <v>5188.25380628143</v>
      </c>
      <c r="AJ11" s="34" t="n">
        <f aca="false">AJ9*Assumptions!$F$49</f>
        <v>5378.55050177527</v>
      </c>
      <c r="AK11" s="34" t="n">
        <f aca="false">AK9*Assumptions!$F$49</f>
        <v>5549.89618012226</v>
      </c>
      <c r="AL11" s="34" t="n">
        <f aca="false">AL9*Assumptions!$F$49</f>
        <v>5738.66088209797</v>
      </c>
    </row>
    <row r="12" customFormat="false" ht="15" hidden="false" customHeight="false" outlineLevel="0" collapsed="false">
      <c r="A12" s="37" t="s">
        <v>225</v>
      </c>
      <c r="B12" s="38" t="s">
        <v>84</v>
      </c>
      <c r="C12" s="45" t="n">
        <f aca="false">C10+C11</f>
        <v>332.64</v>
      </c>
      <c r="D12" s="45" t="n">
        <f aca="false">D10+D11</f>
        <v>455.600112</v>
      </c>
      <c r="E12" s="45" t="n">
        <f aca="false">E10+E11</f>
        <v>585.5998941936</v>
      </c>
      <c r="F12" s="45" t="n">
        <f aca="false">F10+F11</f>
        <v>723.683254021258</v>
      </c>
      <c r="G12" s="45" t="n">
        <f aca="false">G10+G11</f>
        <v>870.988441620898</v>
      </c>
      <c r="H12" s="45" t="n">
        <f aca="false">H10+H11</f>
        <v>1028.75958603119</v>
      </c>
      <c r="I12" s="45" t="n">
        <f aca="false">I10+I11</f>
        <v>1198.35947861376</v>
      </c>
      <c r="J12" s="45" t="n">
        <f aca="false">J10+J11</f>
        <v>1381.28375124773</v>
      </c>
      <c r="K12" s="45" t="n">
        <f aca="false">K10+K11</f>
        <v>1579.17661387893</v>
      </c>
      <c r="L12" s="45" t="n">
        <f aca="false">L10+L11</f>
        <v>1793.84833505373</v>
      </c>
      <c r="M12" s="45" t="n">
        <f aca="false">M10+M11</f>
        <v>2027.29467037196</v>
      </c>
      <c r="N12" s="45" t="n">
        <f aca="false">N10+N11</f>
        <v>2281.71846762196</v>
      </c>
      <c r="O12" s="45" t="n">
        <f aca="false">O10+O11</f>
        <v>2725.87370401193</v>
      </c>
      <c r="P12" s="45" t="n">
        <f aca="false">P10+P11</f>
        <v>3046.55763400043</v>
      </c>
      <c r="Q12" s="45" t="n">
        <f aca="false">Q10+Q11</f>
        <v>3397.98477649622</v>
      </c>
      <c r="R12" s="45" t="n">
        <f aca="false">R10+R11</f>
        <v>3783.63357983265</v>
      </c>
      <c r="S12" s="45" t="n">
        <f aca="false">S10+S11</f>
        <v>4207.35961532458</v>
      </c>
      <c r="T12" s="45" t="n">
        <f aca="false">T10+T11</f>
        <v>4673.43895309694</v>
      </c>
      <c r="U12" s="45" t="n">
        <f aca="false">U10+U11</f>
        <v>5186.61651557089</v>
      </c>
      <c r="V12" s="45" t="n">
        <f aca="false">V10+V11</f>
        <v>5752.15999215603</v>
      </c>
      <c r="W12" s="45" t="n">
        <f aca="false">W10+W11</f>
        <v>6375.91996736751</v>
      </c>
      <c r="X12" s="45" t="n">
        <f aca="false">X10+X11</f>
        <v>7064.39699140381</v>
      </c>
      <c r="Y12" s="45" t="n">
        <f aca="false">Y10+Y11</f>
        <v>7824.81640815375</v>
      </c>
      <c r="Z12" s="45" t="n">
        <f aca="false">Z10+Z11</f>
        <v>8665.21185173428</v>
      </c>
      <c r="AA12" s="45" t="n">
        <f aca="false">AA10+AA11</f>
        <v>9710.9424302099</v>
      </c>
      <c r="AB12" s="45" t="n">
        <f aca="false">AB10+AB11</f>
        <v>10750.7895794032</v>
      </c>
      <c r="AC12" s="45" t="n">
        <f aca="false">AC10+AC11</f>
        <v>11901.709480074</v>
      </c>
      <c r="AD12" s="45" t="n">
        <f aca="false">AD10+AD11</f>
        <v>12980.2694728306</v>
      </c>
      <c r="AE12" s="45" t="n">
        <f aca="false">AE10+AE11</f>
        <v>13960.4854705105</v>
      </c>
      <c r="AF12" s="45" t="n">
        <f aca="false">AF10+AF11</f>
        <v>14948.2375108026</v>
      </c>
      <c r="AG12" s="45" t="n">
        <f aca="false">AG10+AG11</f>
        <v>15948.5538549172</v>
      </c>
      <c r="AH12" s="45" t="n">
        <f aca="false">AH10+AH11</f>
        <v>16966.6603549355</v>
      </c>
      <c r="AI12" s="45" t="n">
        <f aca="false">AI10+AI11</f>
        <v>18008.0139273863</v>
      </c>
      <c r="AJ12" s="45" t="n">
        <f aca="false">AJ10+AJ11</f>
        <v>18953.4044287432</v>
      </c>
      <c r="AK12" s="45" t="n">
        <f aca="false">AK10+AK11</f>
        <v>19837.3603654103</v>
      </c>
      <c r="AL12" s="45" t="n">
        <f aca="false">AL10+AL11</f>
        <v>20698.6719087296</v>
      </c>
    </row>
    <row r="13" customFormat="false" ht="15" hidden="false" customHeight="false" outlineLevel="0" collapsed="false">
      <c r="A13" s="8" t="s">
        <v>226</v>
      </c>
      <c r="B13" s="14" t="s">
        <v>161</v>
      </c>
      <c r="C13" s="36" t="n">
        <f aca="false">C8+C9</f>
        <v>9.9</v>
      </c>
      <c r="D13" s="36" t="n">
        <f aca="false">D8+D9</f>
        <v>18.34547</v>
      </c>
      <c r="E13" s="36" t="n">
        <f aca="false">E8+E9</f>
        <v>27.197049891</v>
      </c>
      <c r="F13" s="36" t="n">
        <f aca="false">F8+F9</f>
        <v>36.5224976027923</v>
      </c>
      <c r="G13" s="36" t="n">
        <f aca="false">G8+G9</f>
        <v>46.3953433269017</v>
      </c>
      <c r="H13" s="36" t="n">
        <f aca="false">H8+H9</f>
        <v>56.8956162042071</v>
      </c>
      <c r="I13" s="36" t="n">
        <f aca="false">I8+I9</f>
        <v>68.1106481549644</v>
      </c>
      <c r="J13" s="36" t="n">
        <f aca="false">J8+J9</f>
        <v>80.135964037034</v>
      </c>
      <c r="K13" s="36" t="n">
        <f aca="false">K8+K9</f>
        <v>93.0762683726144</v>
      </c>
      <c r="L13" s="36" t="n">
        <f aca="false">L8+L9</f>
        <v>107.046540063413</v>
      </c>
      <c r="M13" s="36" t="n">
        <f aca="false">M8+M9</f>
        <v>122.173247833704</v>
      </c>
      <c r="N13" s="36" t="n">
        <f aca="false">N8+N9</f>
        <v>138.595700616678</v>
      </c>
      <c r="O13" s="36" t="n">
        <f aca="false">O8+O9</f>
        <v>157.853548750335</v>
      </c>
      <c r="P13" s="36" t="n">
        <f aca="false">P8+P9</f>
        <v>177.482587295647</v>
      </c>
      <c r="Q13" s="36" t="n">
        <f aca="false">Q8+Q9</f>
        <v>198.930575750388</v>
      </c>
      <c r="R13" s="36" t="n">
        <f aca="false">R8+R9</f>
        <v>222.406392631517</v>
      </c>
      <c r="S13" s="36" t="n">
        <f aca="false">S8+S9</f>
        <v>248.1413065456</v>
      </c>
      <c r="T13" s="36" t="n">
        <f aca="false">T8+T9</f>
        <v>276.391559339269</v>
      </c>
      <c r="U13" s="36" t="n">
        <f aca="false">U8+U9</f>
        <v>307.441244602983</v>
      </c>
      <c r="V13" s="36" t="n">
        <f aca="false">V8+V9</f>
        <v>341.605516163754</v>
      </c>
      <c r="W13" s="36" t="n">
        <f aca="false">W8+W9</f>
        <v>379.23416527346</v>
      </c>
      <c r="X13" s="36" t="n">
        <f aca="false">X8+X9</f>
        <v>420.715609753096</v>
      </c>
      <c r="Y13" s="36" t="n">
        <f aca="false">Y8+Y9</f>
        <v>466.481343447437</v>
      </c>
      <c r="Z13" s="36" t="n">
        <f aca="false">Z8+Z9</f>
        <v>517.010900043194</v>
      </c>
      <c r="AA13" s="36" t="n">
        <f aca="false">AA8+AA9</f>
        <v>573.807591678985</v>
      </c>
      <c r="AB13" s="36" t="n">
        <f aca="false">AB8+AB9</f>
        <v>635.620308999646</v>
      </c>
      <c r="AC13" s="36" t="n">
        <f aca="false">AC8+AC9</f>
        <v>703.990988225682</v>
      </c>
      <c r="AD13" s="36" t="n">
        <f aca="false">AD8+AD9</f>
        <v>773.825027938262</v>
      </c>
      <c r="AE13" s="36" t="n">
        <f aca="false">AE8+AE9</f>
        <v>841.936774860423</v>
      </c>
      <c r="AF13" s="36" t="n">
        <f aca="false">AF8+AF9</f>
        <v>909.463849649506</v>
      </c>
      <c r="AG13" s="36" t="n">
        <f aca="false">AG8+AG9</f>
        <v>976.70504660689</v>
      </c>
      <c r="AH13" s="36" t="n">
        <f aca="false">AH8+AH9</f>
        <v>1043.96361769868</v>
      </c>
      <c r="AI13" s="36" t="n">
        <f aca="false">AI8+AI9</f>
        <v>1111.54879181108</v>
      </c>
      <c r="AJ13" s="36" t="n">
        <f aca="false">AJ8+AJ9</f>
        <v>1176.05908142879</v>
      </c>
      <c r="AK13" s="36" t="n">
        <f aca="false">AK8+AK9</f>
        <v>1236.87115027502</v>
      </c>
      <c r="AL13" s="36" t="n">
        <f aca="false">AL8+AL9</f>
        <v>1294.48975957012</v>
      </c>
    </row>
    <row r="15" customFormat="false" ht="15" hidden="false" customHeight="false" outlineLevel="0" collapsed="false">
      <c r="A15" s="3" t="s">
        <v>227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customFormat="false" ht="15" hidden="false" customHeight="false" outlineLevel="0" collapsed="false">
      <c r="A16" s="8" t="s">
        <v>228</v>
      </c>
      <c r="B16" s="14" t="s">
        <v>84</v>
      </c>
      <c r="C16" s="34" t="n">
        <f aca="false">Cohorts!C19*Assumptions!$F$46</f>
        <v>95.04</v>
      </c>
      <c r="D16" s="34" t="n">
        <f aca="false">Cohorts!D19*Assumptions!$F$46</f>
        <v>193.984032</v>
      </c>
      <c r="E16" s="34" t="n">
        <f aca="false">Cohorts!E19*Assumptions!$F$46</f>
        <v>297.5606769696</v>
      </c>
      <c r="F16" s="34" t="n">
        <f aca="false">Cohorts!F19*Assumptions!$F$46</f>
        <v>406.557384257091</v>
      </c>
      <c r="G16" s="34" t="n">
        <f aca="false">Cohorts!G19*Assumptions!$F$46</f>
        <v>521.828084178589</v>
      </c>
      <c r="H16" s="34" t="n">
        <f aca="false">Cohorts!H19*Assumptions!$F$46</f>
        <v>644.301595385963</v>
      </c>
      <c r="I16" s="34" t="n">
        <f aca="false">Cohorts!I19*Assumptions!$F$46</f>
        <v>774.99092222022</v>
      </c>
      <c r="J16" s="34" t="n">
        <f aca="false">Cohorts!J19*Assumptions!$F$46</f>
        <v>915.003548132927</v>
      </c>
      <c r="K16" s="34" t="n">
        <f aca="false">Cohorts!K19*Assumptions!$F$46</f>
        <v>1065.55284342609</v>
      </c>
      <c r="L16" s="34" t="n">
        <f aca="false">Cohorts!L19*Assumptions!$F$46</f>
        <v>1227.97071917287</v>
      </c>
      <c r="M16" s="34" t="n">
        <f aca="false">Cohorts!M19*Assumptions!$F$46</f>
        <v>1403.72167440806</v>
      </c>
      <c r="N16" s="34" t="n">
        <f aca="false">Cohorts!N19*Assumptions!$F$46</f>
        <v>1594.41840070883</v>
      </c>
      <c r="O16" s="34" t="n">
        <f aca="false">Cohorts!O19*Assumptions!$F$46</f>
        <v>1801.83912733648</v>
      </c>
      <c r="P16" s="34" t="n">
        <f aca="false">Cohorts!P19*Assumptions!$F$46</f>
        <v>2027.92809349747</v>
      </c>
      <c r="Q16" s="34" t="n">
        <f aca="false">Cohorts!Q19*Assumptions!$F$46</f>
        <v>2274.85381261671</v>
      </c>
      <c r="R16" s="34" t="n">
        <f aca="false">Cohorts!R19*Assumptions!$F$46</f>
        <v>2545.01483732772</v>
      </c>
      <c r="S16" s="34" t="n">
        <f aca="false">Cohorts!S19*Assumptions!$F$46</f>
        <v>2841.0663522386</v>
      </c>
      <c r="T16" s="34" t="n">
        <f aca="false">Cohorts!T19*Assumptions!$F$46</f>
        <v>3165.94979640171</v>
      </c>
      <c r="U16" s="34" t="n">
        <f aca="false">Cohorts!U19*Assumptions!$F$46</f>
        <v>3522.92587075412</v>
      </c>
      <c r="V16" s="34" t="n">
        <f aca="false">Cohorts!V19*Assumptions!$F$46</f>
        <v>3915.61132749939</v>
      </c>
      <c r="W16" s="34" t="n">
        <f aca="false">Cohorts!W19*Assumptions!$F$46</f>
        <v>4348.01998504974</v>
      </c>
      <c r="X16" s="34" t="n">
        <f aca="false">Cohorts!X19*Assumptions!$F$46</f>
        <v>4824.60846432974</v>
      </c>
      <c r="Y16" s="34" t="n">
        <f aca="false">Cohorts!Y19*Assumptions!$F$46</f>
        <v>5350.3272006154</v>
      </c>
      <c r="Z16" s="34" t="n">
        <f aca="false">Cohorts!Z19*Assumptions!$F$46</f>
        <v>5930.67735038323</v>
      </c>
      <c r="AA16" s="34" t="n">
        <f aca="false">Cohorts!AA19*Assumptions!$F$46</f>
        <v>6571.77428569647</v>
      </c>
      <c r="AB16" s="34" t="n">
        <f aca="false">Cohorts!AB19*Assumptions!$F$46</f>
        <v>7280.40527783937</v>
      </c>
      <c r="AC16" s="34" t="n">
        <f aca="false">Cohorts!AC19*Assumptions!$F$46</f>
        <v>8064.1343452231</v>
      </c>
      <c r="AD16" s="34" t="n">
        <f aca="false">Cohorts!AD19*Assumptions!$F$46</f>
        <v>8875.41487552898</v>
      </c>
      <c r="AE16" s="34" t="n">
        <f aca="false">Cohorts!AE19*Assumptions!$F$46</f>
        <v>9674.6586125267</v>
      </c>
      <c r="AF16" s="34" t="n">
        <f aca="false">Cohorts!AF19*Assumptions!$F$46</f>
        <v>10465.2693830153</v>
      </c>
      <c r="AG16" s="34" t="n">
        <f aca="false">Cohorts!AG19*Assumptions!$F$46</f>
        <v>11250.6724153233</v>
      </c>
      <c r="AH16" s="34" t="n">
        <f aca="false">Cohorts!AH19*Assumptions!$F$46</f>
        <v>12034.3304187673</v>
      </c>
      <c r="AI16" s="34" t="n">
        <f aca="false">Cohorts!AI19*Assumptions!$F$46</f>
        <v>12819.7601211049</v>
      </c>
      <c r="AJ16" s="34" t="n">
        <f aca="false">Cohorts!AJ19*Assumptions!$F$46</f>
        <v>13574.8539269679</v>
      </c>
      <c r="AK16" s="34" t="n">
        <f aca="false">Cohorts!AK19*Assumptions!$F$46</f>
        <v>14287.464185288</v>
      </c>
      <c r="AL16" s="34" t="n">
        <f aca="false">Cohorts!AL19*Assumptions!$F$46</f>
        <v>14960.0110266316</v>
      </c>
    </row>
    <row r="17" customFormat="false" ht="15" hidden="false" customHeight="false" outlineLevel="0" collapsed="false">
      <c r="A17" s="8" t="s">
        <v>229</v>
      </c>
      <c r="B17" s="14" t="s">
        <v>84</v>
      </c>
      <c r="C17" s="34" t="n">
        <f aca="false">Cohorts!C20*Assumptions!$F$47</f>
        <v>19.8</v>
      </c>
      <c r="D17" s="34" t="n">
        <f aca="false">Cohorts!D20*Assumptions!$F$47</f>
        <v>41.60134</v>
      </c>
      <c r="E17" s="34" t="n">
        <f aca="false">Cohorts!E20*Assumptions!$F$47</f>
        <v>65.604608102</v>
      </c>
      <c r="F17" s="34" t="n">
        <f aca="false">Cohorts!F20*Assumptions!$F$47</f>
        <v>92.0317639156806</v>
      </c>
      <c r="G17" s="34" t="n">
        <f aca="false">Cohorts!G20*Assumptions!$F$47</f>
        <v>121.128460369206</v>
      </c>
      <c r="H17" s="34" t="n">
        <f aca="false">Cohorts!H20*Assumptions!$F$47</f>
        <v>153.166626256308</v>
      </c>
      <c r="I17" s="34" t="n">
        <f aca="false">Cohorts!I20*Assumptions!$F$47</f>
        <v>188.447339289103</v>
      </c>
      <c r="J17" s="34" t="n">
        <f aca="false">Cohorts!J20*Assumptions!$F$47</f>
        <v>227.304022882003</v>
      </c>
      <c r="K17" s="34" t="n">
        <f aca="false">Cohorts!K20*Assumptions!$F$47</f>
        <v>270.106003753073</v>
      </c>
      <c r="L17" s="34" t="n">
        <f aca="false">Cohorts!L20*Assumptions!$F$47</f>
        <v>317.262471743145</v>
      </c>
      <c r="M17" s="34" t="n">
        <f aca="false">Cohorts!M20*Assumptions!$F$47</f>
        <v>369.226888073471</v>
      </c>
      <c r="N17" s="34" t="n">
        <f aca="false">Cohorts!N20*Assumptions!$F$47</f>
        <v>426.501893649565</v>
      </c>
      <c r="O17" s="34" t="n">
        <f aca="false">Cohorts!O20*Assumptions!$F$47</f>
        <v>483.704775039186</v>
      </c>
      <c r="P17" s="34" t="n">
        <f aca="false">Cohorts!P20*Assumptions!$F$47</f>
        <v>546.789230081099</v>
      </c>
      <c r="Q17" s="34" t="n">
        <f aca="false">Cohorts!Q20*Assumptions!$F$47</f>
        <v>616.380208969059</v>
      </c>
      <c r="R17" s="34" t="n">
        <f aca="false">Cohorts!R20*Assumptions!$F$47</f>
        <v>693.171281697456</v>
      </c>
      <c r="S17" s="34" t="n">
        <f aca="false">Cohorts!S20*Assumptions!$F$47</f>
        <v>777.932357167762</v>
      </c>
      <c r="T17" s="34" t="n">
        <f aca="false">Cohorts!T20*Assumptions!$F$47</f>
        <v>871.518287671929</v>
      </c>
      <c r="U17" s="34" t="n">
        <f aca="false">Cohorts!U20*Assumptions!$F$47</f>
        <v>974.878461707198</v>
      </c>
      <c r="V17" s="34" t="n">
        <f aca="false">Cohorts!V20*Assumptions!$F$47</f>
        <v>1089.06750016902</v>
      </c>
      <c r="W17" s="34" t="n">
        <f aca="false">Cohorts!W20*Assumptions!$F$47</f>
        <v>1215.2571844911</v>
      </c>
      <c r="X17" s="34" t="n">
        <f aca="false">Cohorts!X20*Assumptions!$F$47</f>
        <v>1354.74976042386</v>
      </c>
      <c r="Y17" s="34" t="n">
        <f aca="false">Cohorts!Y20*Assumptions!$F$47</f>
        <v>1508.99277805507</v>
      </c>
      <c r="Z17" s="34" t="n">
        <f aca="false">Cohorts!Z20*Assumptions!$F$47</f>
        <v>1679.59564759156</v>
      </c>
      <c r="AA17" s="34" t="n">
        <f aca="false">Cohorts!AA20*Assumptions!$F$47</f>
        <v>1864.19011157806</v>
      </c>
      <c r="AB17" s="34" t="n">
        <f aca="false">Cohorts!AB20*Assumptions!$F$47</f>
        <v>2068.50300833313</v>
      </c>
      <c r="AC17" s="34" t="n">
        <f aca="false">Cohorts!AC20*Assumptions!$F$47</f>
        <v>2294.70668924741</v>
      </c>
      <c r="AD17" s="34" t="n">
        <f aca="false">Cohorts!AD20*Assumptions!$F$47</f>
        <v>2533.55967714713</v>
      </c>
      <c r="AE17" s="34" t="n">
        <f aca="false">Cohorts!AE20*Assumptions!$F$47</f>
        <v>2776.85414338862</v>
      </c>
      <c r="AF17" s="34" t="n">
        <f aca="false">Cohorts!AF20*Assumptions!$F$47</f>
        <v>3024.81072431296</v>
      </c>
      <c r="AG17" s="34" t="n">
        <f aca="false">Cohorts!AG20*Assumptions!$F$47</f>
        <v>3277.65995721105</v>
      </c>
      <c r="AH17" s="34" t="n">
        <f aca="false">Cohorts!AH20*Assumptions!$F$47</f>
        <v>3535.64172983701</v>
      </c>
      <c r="AI17" s="34" t="n">
        <f aca="false">Cohorts!AI20*Assumptions!$F$47</f>
        <v>3799.00454850065</v>
      </c>
      <c r="AJ17" s="34" t="n">
        <f aca="false">Cohorts!AJ20*Assumptions!$F$47</f>
        <v>4060.56804639242</v>
      </c>
      <c r="AK17" s="34" t="n">
        <f aca="false">Cohorts!AK20*Assumptions!$F$47</f>
        <v>4316.85196077441</v>
      </c>
      <c r="AL17" s="34" t="n">
        <f aca="false">Cohorts!AL20*Assumptions!$F$47</f>
        <v>4567.19582583666</v>
      </c>
    </row>
    <row r="18" customFormat="false" ht="15" hidden="false" customHeight="false" outlineLevel="0" collapsed="false">
      <c r="A18" s="37" t="s">
        <v>230</v>
      </c>
      <c r="B18" s="38" t="s">
        <v>84</v>
      </c>
      <c r="C18" s="45" t="n">
        <f aca="false">C16+C17</f>
        <v>114.84</v>
      </c>
      <c r="D18" s="45" t="n">
        <f aca="false">D16+D17</f>
        <v>235.585372</v>
      </c>
      <c r="E18" s="45" t="n">
        <f aca="false">E16+E17</f>
        <v>363.1652850716</v>
      </c>
      <c r="F18" s="45" t="n">
        <f aca="false">F16+F17</f>
        <v>498.589148172772</v>
      </c>
      <c r="G18" s="45" t="n">
        <f aca="false">G16+G17</f>
        <v>642.956544547795</v>
      </c>
      <c r="H18" s="45" t="n">
        <f aca="false">H16+H17</f>
        <v>797.468221642271</v>
      </c>
      <c r="I18" s="45" t="n">
        <f aca="false">I16+I17</f>
        <v>963.438261509323</v>
      </c>
      <c r="J18" s="45" t="n">
        <f aca="false">J16+J17</f>
        <v>1142.30757101493</v>
      </c>
      <c r="K18" s="45" t="n">
        <f aca="false">K16+K17</f>
        <v>1335.65884717916</v>
      </c>
      <c r="L18" s="45" t="n">
        <f aca="false">L16+L17</f>
        <v>1545.23319091601</v>
      </c>
      <c r="M18" s="45" t="n">
        <f aca="false">M16+M17</f>
        <v>1772.94856248153</v>
      </c>
      <c r="N18" s="45" t="n">
        <f aca="false">N16+N17</f>
        <v>2020.92029435839</v>
      </c>
      <c r="O18" s="45" t="n">
        <f aca="false">O16+O17</f>
        <v>2285.54390237566</v>
      </c>
      <c r="P18" s="45" t="n">
        <f aca="false">P16+P17</f>
        <v>2574.71732357857</v>
      </c>
      <c r="Q18" s="45" t="n">
        <f aca="false">Q16+Q17</f>
        <v>2891.23402158577</v>
      </c>
      <c r="R18" s="45" t="n">
        <f aca="false">R16+R17</f>
        <v>3238.18611902517</v>
      </c>
      <c r="S18" s="45" t="n">
        <f aca="false">S16+S17</f>
        <v>3618.99870940636</v>
      </c>
      <c r="T18" s="45" t="n">
        <f aca="false">T16+T17</f>
        <v>4037.46808407364</v>
      </c>
      <c r="U18" s="45" t="n">
        <f aca="false">U16+U17</f>
        <v>4497.80433246132</v>
      </c>
      <c r="V18" s="45" t="n">
        <f aca="false">V16+V17</f>
        <v>5004.67882766841</v>
      </c>
      <c r="W18" s="45" t="n">
        <f aca="false">W16+W17</f>
        <v>5563.27716954083</v>
      </c>
      <c r="X18" s="45" t="n">
        <f aca="false">X16+X17</f>
        <v>6179.3582247536</v>
      </c>
      <c r="Y18" s="45" t="n">
        <f aca="false">Y16+Y17</f>
        <v>6859.31997867047</v>
      </c>
      <c r="Z18" s="45" t="n">
        <f aca="false">Z16+Z17</f>
        <v>7610.27299797479</v>
      </c>
      <c r="AA18" s="45" t="n">
        <f aca="false">AA16+AA17</f>
        <v>8435.96439727453</v>
      </c>
      <c r="AB18" s="45" t="n">
        <f aca="false">AB16+AB17</f>
        <v>9348.9082861725</v>
      </c>
      <c r="AC18" s="45" t="n">
        <f aca="false">AC16+AC17</f>
        <v>10358.8410344705</v>
      </c>
      <c r="AD18" s="45" t="n">
        <f aca="false">AD16+AD17</f>
        <v>11408.9745526761</v>
      </c>
      <c r="AE18" s="45" t="n">
        <f aca="false">AE16+AE17</f>
        <v>12451.5127559153</v>
      </c>
      <c r="AF18" s="45" t="n">
        <f aca="false">AF16+AF17</f>
        <v>13490.0801073283</v>
      </c>
      <c r="AG18" s="45" t="n">
        <f aca="false">AG16+AG17</f>
        <v>14528.3323725343</v>
      </c>
      <c r="AH18" s="45" t="n">
        <f aca="false">AH16+AH17</f>
        <v>15569.9721486043</v>
      </c>
      <c r="AI18" s="45" t="n">
        <f aca="false">AI16+AI17</f>
        <v>16618.7646696055</v>
      </c>
      <c r="AJ18" s="45" t="n">
        <f aca="false">AJ16+AJ17</f>
        <v>17635.4219733604</v>
      </c>
      <c r="AK18" s="45" t="n">
        <f aca="false">AK16+AK17</f>
        <v>18604.3161460624</v>
      </c>
      <c r="AL18" s="45" t="n">
        <f aca="false">AL16+AL17</f>
        <v>19527.2068524683</v>
      </c>
    </row>
    <row r="19" customFormat="false" ht="15" hidden="false" customHeight="false" outlineLevel="0" collapsed="false">
      <c r="A19" s="8" t="s">
        <v>231</v>
      </c>
      <c r="B19" s="14" t="s">
        <v>84</v>
      </c>
      <c r="C19" s="34" t="n">
        <f aca="false">C18*12</f>
        <v>1378.08</v>
      </c>
      <c r="D19" s="34" t="n">
        <f aca="false">D18*12</f>
        <v>2827.024464</v>
      </c>
      <c r="E19" s="34" t="n">
        <f aca="false">E18*12</f>
        <v>4357.9834208592</v>
      </c>
      <c r="F19" s="34" t="n">
        <f aca="false">F18*12</f>
        <v>5983.06977807326</v>
      </c>
      <c r="G19" s="34" t="n">
        <f aca="false">G18*12</f>
        <v>7715.47853457354</v>
      </c>
      <c r="H19" s="34" t="n">
        <f aca="false">H18*12</f>
        <v>9569.61865970726</v>
      </c>
      <c r="I19" s="34" t="n">
        <f aca="false">I18*12</f>
        <v>11561.2591381119</v>
      </c>
      <c r="J19" s="34" t="n">
        <f aca="false">J18*12</f>
        <v>13707.6908521792</v>
      </c>
      <c r="K19" s="34" t="n">
        <f aca="false">K18*12</f>
        <v>16027.9061661499</v>
      </c>
      <c r="L19" s="34" t="n">
        <f aca="false">L18*12</f>
        <v>18542.7982909922</v>
      </c>
      <c r="M19" s="34" t="n">
        <f aca="false">M18*12</f>
        <v>21275.3827497783</v>
      </c>
      <c r="N19" s="34" t="n">
        <f aca="false">N18*12</f>
        <v>24251.0435323007</v>
      </c>
      <c r="O19" s="34" t="n">
        <f aca="false">O18*12</f>
        <v>27426.5268285079</v>
      </c>
      <c r="P19" s="34" t="n">
        <f aca="false">P18*12</f>
        <v>30896.6078829429</v>
      </c>
      <c r="Q19" s="34" t="n">
        <f aca="false">Q18*12</f>
        <v>34694.8082590292</v>
      </c>
      <c r="R19" s="34" t="n">
        <f aca="false">R18*12</f>
        <v>38858.2334283021</v>
      </c>
      <c r="S19" s="34" t="n">
        <f aca="false">S18*12</f>
        <v>43427.9845128763</v>
      </c>
      <c r="T19" s="34" t="n">
        <f aca="false">T18*12</f>
        <v>48449.6170088837</v>
      </c>
      <c r="U19" s="34" t="n">
        <f aca="false">U18*12</f>
        <v>53973.6519895359</v>
      </c>
      <c r="V19" s="34" t="n">
        <f aca="false">V18*12</f>
        <v>60056.1459320209</v>
      </c>
      <c r="W19" s="34" t="n">
        <f aca="false">W18*12</f>
        <v>66759.32603449</v>
      </c>
      <c r="X19" s="34" t="n">
        <f aca="false">X18*12</f>
        <v>74152.2986970433</v>
      </c>
      <c r="Y19" s="34" t="n">
        <f aca="false">Y18*12</f>
        <v>82311.8397440456</v>
      </c>
      <c r="Z19" s="34" t="n">
        <f aca="false">Z18*12</f>
        <v>91323.2759756974</v>
      </c>
      <c r="AA19" s="34" t="n">
        <f aca="false">AA18*12</f>
        <v>101231.572767294</v>
      </c>
      <c r="AB19" s="34" t="n">
        <f aca="false">AB18*12</f>
        <v>112186.89943407</v>
      </c>
      <c r="AC19" s="34" t="n">
        <f aca="false">AC18*12</f>
        <v>124306.092413646</v>
      </c>
      <c r="AD19" s="34" t="n">
        <f aca="false">AD18*12</f>
        <v>136907.694632113</v>
      </c>
      <c r="AE19" s="34" t="n">
        <f aca="false">AE18*12</f>
        <v>149418.153070984</v>
      </c>
      <c r="AF19" s="34" t="n">
        <f aca="false">AF18*12</f>
        <v>161880.96128794</v>
      </c>
      <c r="AG19" s="34" t="n">
        <f aca="false">AG18*12</f>
        <v>174339.988470412</v>
      </c>
      <c r="AH19" s="34" t="n">
        <f aca="false">AH18*12</f>
        <v>186839.665783252</v>
      </c>
      <c r="AI19" s="34" t="n">
        <f aca="false">AI18*12</f>
        <v>199425.176035266</v>
      </c>
      <c r="AJ19" s="34" t="n">
        <f aca="false">AJ18*12</f>
        <v>211625.063680324</v>
      </c>
      <c r="AK19" s="34" t="n">
        <f aca="false">AK18*12</f>
        <v>223251.793752749</v>
      </c>
      <c r="AL19" s="34" t="n">
        <f aca="false">AL18*12</f>
        <v>234326.48222962</v>
      </c>
    </row>
    <row r="20" customFormat="false" ht="15" hidden="false" customHeight="false" outlineLevel="0" collapsed="false">
      <c r="A20" s="8" t="s">
        <v>232</v>
      </c>
      <c r="B20" s="14" t="s">
        <v>87</v>
      </c>
      <c r="C20" s="46" t="n">
        <f aca="false">0</f>
        <v>0</v>
      </c>
      <c r="D20" s="46" t="n">
        <f aca="false">IF(C18=0,0,D18/C18-1)</f>
        <v>1.05142260536398</v>
      </c>
      <c r="E20" s="46" t="n">
        <f aca="false">IF(D18=0,0,E18/D18-1)</f>
        <v>0.541544290243963</v>
      </c>
      <c r="F20" s="46" t="n">
        <f aca="false">IF(E18=0,0,F18/E18-1)</f>
        <v>0.37289870113679</v>
      </c>
      <c r="G20" s="46" t="n">
        <f aca="false">IF(F18=0,0,G18/F18-1)</f>
        <v>0.289551822184861</v>
      </c>
      <c r="H20" s="46" t="n">
        <f aca="false">IF(G18=0,0,H18/G18-1)</f>
        <v>0.240314339133366</v>
      </c>
      <c r="I20" s="46" t="n">
        <f aca="false">IF(H18=0,0,I18/H18-1)</f>
        <v>0.208121195757819</v>
      </c>
      <c r="J20" s="46" t="n">
        <f aca="false">IF(I18=0,0,J18/I18-1)</f>
        <v>0.185657261758933</v>
      </c>
      <c r="K20" s="46" t="n">
        <f aca="false">IF(J18=0,0,K18/J18-1)</f>
        <v>0.169263761416237</v>
      </c>
      <c r="L20" s="46" t="n">
        <f aca="false">IF(K18=0,0,L18/K18-1)</f>
        <v>0.156907090593875</v>
      </c>
      <c r="M20" s="46" t="n">
        <f aca="false">IF(L18=0,0,M18/L18-1)</f>
        <v>0.147366347619368</v>
      </c>
      <c r="N20" s="46" t="n">
        <f aca="false">IF(M18=0,0,N18/M18-1)</f>
        <v>0.139864030533287</v>
      </c>
      <c r="O20" s="46" t="n">
        <f aca="false">IF(N18=0,0,O18/N18-1)</f>
        <v>0.130942130056289</v>
      </c>
      <c r="P20" s="46" t="n">
        <f aca="false">IF(O18=0,0,P18/O18-1)</f>
        <v>0.126522803128977</v>
      </c>
      <c r="Q20" s="46" t="n">
        <f aca="false">IF(P18=0,0,Q18/P18-1)</f>
        <v>0.122932601225238</v>
      </c>
      <c r="R20" s="46" t="n">
        <f aca="false">IF(Q18=0,0,R18/Q18-1)</f>
        <v>0.120001388628206</v>
      </c>
      <c r="S20" s="46" t="n">
        <f aca="false">IF(R18=0,0,S18/R18-1)</f>
        <v>0.117600587607925</v>
      </c>
      <c r="T20" s="46" t="n">
        <f aca="false">IF(S18=0,0,T18/S18-1)</f>
        <v>0.115631258331098</v>
      </c>
      <c r="U20" s="46" t="n">
        <f aca="false">IF(T18=0,0,U18/T18-1)</f>
        <v>0.114016071161911</v>
      </c>
      <c r="V20" s="46" t="n">
        <f aca="false">IF(U18=0,0,V18/U18-1)</f>
        <v>0.112693762943154</v>
      </c>
      <c r="W20" s="46" t="n">
        <f aca="false">IF(V18=0,0,W18/V18-1)</f>
        <v>0.111615222696052</v>
      </c>
      <c r="X20" s="46" t="n">
        <f aca="false">IF(W18=0,0,X18/W18-1)</f>
        <v>0.110740672527668</v>
      </c>
      <c r="Y20" s="46" t="n">
        <f aca="false">IF(X18=0,0,Y18/X18-1)</f>
        <v>0.110037600861694</v>
      </c>
      <c r="Z20" s="46" t="n">
        <f aca="false">IF(Y18=0,0,Z18/Y18-1)</f>
        <v>0.109479222669223</v>
      </c>
      <c r="AA20" s="46" t="n">
        <f aca="false">IF(Z18=0,0,AA18/Z18-1)</f>
        <v>0.108496948732257</v>
      </c>
      <c r="AB20" s="46" t="n">
        <f aca="false">IF(AA18=0,0,AB18/AA18-1)</f>
        <v>0.108220453039479</v>
      </c>
      <c r="AC20" s="46" t="n">
        <f aca="false">IF(AB18=0,0,AC18/AB18-1)</f>
        <v>0.108026810979817</v>
      </c>
      <c r="AD20" s="46" t="n">
        <f aca="false">IF(AC18=0,0,AD18/AC18-1)</f>
        <v>0.101375580020114</v>
      </c>
      <c r="AE20" s="46" t="n">
        <f aca="false">IF(AD18=0,0,AE18/AD18-1)</f>
        <v>0.0913787824160464</v>
      </c>
      <c r="AF20" s="46" t="n">
        <f aca="false">IF(AE18=0,0,AF18/AE18-1)</f>
        <v>0.0834089296434761</v>
      </c>
      <c r="AG20" s="46" t="n">
        <f aca="false">IF(AF18=0,0,AG18/AF18-1)</f>
        <v>0.0769641289707406</v>
      </c>
      <c r="AH20" s="46" t="n">
        <f aca="false">IF(AG18=0,0,AH18/AG18-1)</f>
        <v>0.0716971328408755</v>
      </c>
      <c r="AI20" s="46" t="n">
        <f aca="false">IF(AH18=0,0,AI18/AH18-1)</f>
        <v>0.0673599484309424</v>
      </c>
      <c r="AJ20" s="46" t="n">
        <f aca="false">IF(AI18=0,0,AJ18/AI18-1)</f>
        <v>0.0611752632621503</v>
      </c>
      <c r="AK20" s="46" t="n">
        <f aca="false">IF(AJ18=0,0,AK18/AJ18-1)</f>
        <v>0.0549402318904346</v>
      </c>
      <c r="AL20" s="46" t="n">
        <f aca="false">IF(AK18=0,0,AL18/AK18-1)</f>
        <v>0.0496062687367944</v>
      </c>
    </row>
    <row r="22" customFormat="false" ht="15" hidden="false" customHeight="false" outlineLevel="0" collapsed="false">
      <c r="A22" s="3" t="s">
        <v>107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customFormat="false" ht="15" hidden="false" customHeight="false" outlineLevel="0" collapsed="false">
      <c r="A23" s="8" t="s">
        <v>233</v>
      </c>
      <c r="B23" s="14" t="s">
        <v>84</v>
      </c>
      <c r="C23" s="34" t="n">
        <f aca="false">Cohorts!C21*Assumptions!$F$30</f>
        <v>3.465</v>
      </c>
      <c r="D23" s="34" t="n">
        <f aca="false">Cohorts!D21*Assumptions!$F$30</f>
        <v>7.1139145</v>
      </c>
      <c r="E23" s="34" t="n">
        <f aca="false">Cohorts!E21*Assumptions!$F$30</f>
        <v>10.97501436185</v>
      </c>
      <c r="F23" s="34" t="n">
        <f aca="false">Cohorts!F21*Assumptions!$F$30</f>
        <v>15.0790354445473</v>
      </c>
      <c r="G23" s="34" t="n">
        <f aca="false">Cohorts!G21*Assumptions!$F$30</f>
        <v>19.4594819014644</v>
      </c>
      <c r="H23" s="34" t="n">
        <f aca="false">Cohorts!H21*Assumptions!$F$30</f>
        <v>24.1529617843947</v>
      </c>
      <c r="I23" s="34" t="n">
        <f aca="false">Cohorts!I21*Assumptions!$F$30</f>
        <v>29.1995587732083</v>
      </c>
      <c r="J23" s="34" t="n">
        <f aca="false">Cohorts!J21*Assumptions!$F$30</f>
        <v>34.6432442880805</v>
      </c>
      <c r="K23" s="34" t="n">
        <f aca="false">Cohorts!K21*Assumptions!$F$30</f>
        <v>40.5323347312852</v>
      </c>
      <c r="L23" s="34" t="n">
        <f aca="false">Cohorts!L21*Assumptions!$F$30</f>
        <v>46.9199991535521</v>
      </c>
      <c r="M23" s="34" t="n">
        <f aca="false">Cohorts!M21*Assumptions!$F$30</f>
        <v>53.8648232528065</v>
      </c>
      <c r="N23" s="34" t="n">
        <f aca="false">Cohorts!N21*Assumptions!$F$30</f>
        <v>61.4314362984089</v>
      </c>
      <c r="O23" s="34" t="n">
        <f aca="false">Cohorts!O21*Assumptions!$F$30</f>
        <v>69.483308340352</v>
      </c>
      <c r="P23" s="34" t="n">
        <f aca="false">Cohorts!P21*Assumptions!$F$30</f>
        <v>78.2855257798481</v>
      </c>
      <c r="Q23" s="34" t="n">
        <f aca="false">Cohorts!Q21*Assumptions!$F$30</f>
        <v>87.9232101819044</v>
      </c>
      <c r="R23" s="34" t="n">
        <f aca="false">Cohorts!R21*Assumptions!$F$30</f>
        <v>98.4905942814693</v>
      </c>
      <c r="S23" s="34" t="n">
        <f aca="false">Cohorts!S21*Assumptions!$F$30</f>
        <v>110.092067774497</v>
      </c>
      <c r="T23" s="34" t="n">
        <f aca="false">Cohorts!T21*Assumptions!$F$30</f>
        <v>122.843342463567</v>
      </c>
      <c r="U23" s="34" t="n">
        <f aca="false">Cohorts!U21*Assumptions!$F$30</f>
        <v>136.872750723414</v>
      </c>
      <c r="V23" s="34" t="n">
        <f aca="false">Cohorts!V21*Assumptions!$F$30</f>
        <v>152.322692891314</v>
      </c>
      <c r="W23" s="34" t="n">
        <f aca="false">Cohorts!W21*Assumptions!$F$30</f>
        <v>169.351251021139</v>
      </c>
      <c r="X23" s="34" t="n">
        <f aca="false">Cohorts!X21*Assumptions!$F$30</f>
        <v>188.133988491119</v>
      </c>
      <c r="Y23" s="34" t="n">
        <f aca="false">Cohorts!Y21*Assumptions!$F$30</f>
        <v>208.865957249877</v>
      </c>
      <c r="Z23" s="34" t="n">
        <f aca="false">Cohorts!Z21*Assumptions!$F$30</f>
        <v>231.763937051882</v>
      </c>
      <c r="AA23" s="34" t="n">
        <f aca="false">Cohorts!AA21*Assumptions!$F$30</f>
        <v>256.923403904713</v>
      </c>
      <c r="AB23" s="34" t="n">
        <f aca="false">Cohorts!AB21*Assumptions!$F$30</f>
        <v>284.742759228641</v>
      </c>
      <c r="AC23" s="34" t="n">
        <f aca="false">Cohorts!AC21*Assumptions!$F$30</f>
        <v>315.518652526</v>
      </c>
      <c r="AD23" s="34" t="n">
        <f aca="false">Cohorts!AD21*Assumptions!$F$30</f>
        <v>347.540855903078</v>
      </c>
      <c r="AE23" s="34" t="n">
        <f aca="false">Cohorts!AE21*Assumptions!$F$30</f>
        <v>379.367437883964</v>
      </c>
      <c r="AF23" s="34" t="n">
        <f aca="false">Cohorts!AF21*Assumptions!$F$30</f>
        <v>411.105399022234</v>
      </c>
      <c r="AG23" s="34" t="n">
        <f aca="false">Cohorts!AG21*Assumptions!$F$30</f>
        <v>442.862710615983</v>
      </c>
      <c r="AH23" s="34" t="n">
        <f aca="false">Cohorts!AH21*Assumptions!$F$30</f>
        <v>474.748764425009</v>
      </c>
      <c r="AI23" s="34" t="n">
        <f aca="false">Cohorts!AI21*Assumptions!$F$30</f>
        <v>506.874829396415</v>
      </c>
      <c r="AJ23" s="34" t="n">
        <f aca="false">Cohorts!AJ21*Assumptions!$F$30</f>
        <v>538.0531211603</v>
      </c>
      <c r="AK23" s="34" t="n">
        <f aca="false">Cohorts!AK21*Assumptions!$F$30</f>
        <v>567.807524031339</v>
      </c>
      <c r="AL23" s="34" t="n">
        <f aca="false">Cohorts!AL21*Assumptions!$F$30</f>
        <v>596.185508847706</v>
      </c>
    </row>
    <row r="24" customFormat="false" ht="15" hidden="false" customHeight="false" outlineLevel="0" collapsed="false">
      <c r="A24" s="8" t="s">
        <v>234</v>
      </c>
      <c r="B24" s="14" t="s">
        <v>84</v>
      </c>
      <c r="C24" s="34" t="n">
        <f aca="false">Cohorts!C21*Assumptions!$F$31</f>
        <v>0.99</v>
      </c>
      <c r="D24" s="34" t="n">
        <f aca="false">Cohorts!D21*Assumptions!$F$31</f>
        <v>2.032547</v>
      </c>
      <c r="E24" s="34" t="n">
        <f aca="false">Cohorts!E21*Assumptions!$F$31</f>
        <v>3.1357183891</v>
      </c>
      <c r="F24" s="34" t="n">
        <f aca="false">Cohorts!F21*Assumptions!$F$31</f>
        <v>4.30829584129923</v>
      </c>
      <c r="G24" s="34" t="n">
        <f aca="false">Cohorts!G21*Assumptions!$F$31</f>
        <v>5.55985197184697</v>
      </c>
      <c r="H24" s="34" t="n">
        <f aca="false">Cohorts!H21*Assumptions!$F$31</f>
        <v>6.90084622411278</v>
      </c>
      <c r="I24" s="34" t="n">
        <f aca="false">Cohorts!I21*Assumptions!$F$31</f>
        <v>8.34273107805953</v>
      </c>
      <c r="J24" s="34" t="n">
        <f aca="false">Cohorts!J21*Assumptions!$F$31</f>
        <v>9.89806979659443</v>
      </c>
      <c r="K24" s="34" t="n">
        <f aca="false">Cohorts!K21*Assumptions!$F$31</f>
        <v>11.5806670660815</v>
      </c>
      <c r="L24" s="34" t="n">
        <f aca="false">Cohorts!L21*Assumptions!$F$31</f>
        <v>13.405714043872</v>
      </c>
      <c r="M24" s="34" t="n">
        <f aca="false">Cohorts!M21*Assumptions!$F$31</f>
        <v>15.3899495008019</v>
      </c>
      <c r="N24" s="34" t="n">
        <f aca="false">Cohorts!N21*Assumptions!$F$31</f>
        <v>17.5518389424025</v>
      </c>
      <c r="O24" s="34" t="n">
        <f aca="false">Cohorts!O21*Assumptions!$F$31</f>
        <v>19.8523738115292</v>
      </c>
      <c r="P24" s="34" t="n">
        <f aca="false">Cohorts!P21*Assumptions!$F$31</f>
        <v>22.3672930799566</v>
      </c>
      <c r="Q24" s="34" t="n">
        <f aca="false">Cohorts!Q21*Assumptions!$F$31</f>
        <v>25.1209171948298</v>
      </c>
      <c r="R24" s="34" t="n">
        <f aca="false">Cohorts!R21*Assumptions!$F$31</f>
        <v>28.1401697947055</v>
      </c>
      <c r="S24" s="34" t="n">
        <f aca="false">Cohorts!S21*Assumptions!$F$31</f>
        <v>31.4548765069993</v>
      </c>
      <c r="T24" s="34" t="n">
        <f aca="false">Cohorts!T21*Assumptions!$F$31</f>
        <v>35.0980978467335</v>
      </c>
      <c r="U24" s="34" t="n">
        <f aca="false">Cohorts!U21*Assumptions!$F$31</f>
        <v>39.1065002066897</v>
      </c>
      <c r="V24" s="34" t="n">
        <f aca="false">Cohorts!V21*Assumptions!$F$31</f>
        <v>43.5207693975184</v>
      </c>
      <c r="W24" s="34" t="n">
        <f aca="false">Cohorts!W21*Assumptions!$F$31</f>
        <v>48.3860717203254</v>
      </c>
      <c r="X24" s="34" t="n">
        <f aca="false">Cohorts!X21*Assumptions!$F$31</f>
        <v>53.7525681403198</v>
      </c>
      <c r="Y24" s="34" t="n">
        <f aca="false">Cohorts!Y21*Assumptions!$F$31</f>
        <v>59.675987785679</v>
      </c>
      <c r="Z24" s="34" t="n">
        <f aca="false">Cohorts!Z21*Assumptions!$F$31</f>
        <v>66.2182677291092</v>
      </c>
      <c r="AA24" s="34" t="n">
        <f aca="false">Cohorts!AA21*Assumptions!$F$31</f>
        <v>73.4066868299179</v>
      </c>
      <c r="AB24" s="34" t="n">
        <f aca="false">Cohorts!AB21*Assumptions!$F$31</f>
        <v>81.3550740653261</v>
      </c>
      <c r="AC24" s="34" t="n">
        <f aca="false">Cohorts!AC21*Assumptions!$F$31</f>
        <v>90.1481864359999</v>
      </c>
      <c r="AD24" s="34" t="n">
        <f aca="false">Cohorts!AD21*Assumptions!$F$31</f>
        <v>99.2973874008795</v>
      </c>
      <c r="AE24" s="34" t="n">
        <f aca="false">Cohorts!AE21*Assumptions!$F$31</f>
        <v>108.390696538275</v>
      </c>
      <c r="AF24" s="34" t="n">
        <f aca="false">Cohorts!AF21*Assumptions!$F$31</f>
        <v>117.458685434924</v>
      </c>
      <c r="AG24" s="34" t="n">
        <f aca="false">Cohorts!AG21*Assumptions!$F$31</f>
        <v>126.532203033138</v>
      </c>
      <c r="AH24" s="34" t="n">
        <f aca="false">Cohorts!AH21*Assumptions!$F$31</f>
        <v>135.642504121431</v>
      </c>
      <c r="AI24" s="34" t="n">
        <f aca="false">Cohorts!AI21*Assumptions!$F$31</f>
        <v>144.821379827547</v>
      </c>
      <c r="AJ24" s="34" t="n">
        <f aca="false">Cohorts!AJ21*Assumptions!$F$31</f>
        <v>153.729463188657</v>
      </c>
      <c r="AK24" s="34" t="n">
        <f aca="false">Cohorts!AK21*Assumptions!$F$31</f>
        <v>162.230721151811</v>
      </c>
      <c r="AL24" s="34" t="n">
        <f aca="false">Cohorts!AL21*Assumptions!$F$31</f>
        <v>170.33871681363</v>
      </c>
    </row>
    <row r="25" customFormat="false" ht="15" hidden="false" customHeight="false" outlineLevel="0" collapsed="false">
      <c r="A25" s="8" t="s">
        <v>235</v>
      </c>
      <c r="B25" s="14" t="s">
        <v>84</v>
      </c>
      <c r="C25" s="34" t="n">
        <f aca="false">Cohorts!C21*Assumptions!$F$32</f>
        <v>2.97</v>
      </c>
      <c r="D25" s="34" t="n">
        <f aca="false">Cohorts!D21*Assumptions!$F$32</f>
        <v>6.097641</v>
      </c>
      <c r="E25" s="34" t="n">
        <f aca="false">Cohorts!E21*Assumptions!$F$32</f>
        <v>9.4071551673</v>
      </c>
      <c r="F25" s="34" t="n">
        <f aca="false">Cohorts!F21*Assumptions!$F$32</f>
        <v>12.9248875238977</v>
      </c>
      <c r="G25" s="34" t="n">
        <f aca="false">Cohorts!G21*Assumptions!$F$32</f>
        <v>16.6795559155409</v>
      </c>
      <c r="H25" s="34" t="n">
        <f aca="false">Cohorts!H21*Assumptions!$F$32</f>
        <v>20.7025386723383</v>
      </c>
      <c r="I25" s="34" t="n">
        <f aca="false">Cohorts!I21*Assumptions!$F$32</f>
        <v>25.0281932341786</v>
      </c>
      <c r="J25" s="34" t="n">
        <f aca="false">Cohorts!J21*Assumptions!$F$32</f>
        <v>29.6942093897833</v>
      </c>
      <c r="K25" s="34" t="n">
        <f aca="false">Cohorts!K21*Assumptions!$F$32</f>
        <v>34.7420011982444</v>
      </c>
      <c r="L25" s="34" t="n">
        <f aca="false">Cohorts!L21*Assumptions!$F$32</f>
        <v>40.2171421316161</v>
      </c>
      <c r="M25" s="34" t="n">
        <f aca="false">Cohorts!M21*Assumptions!$F$32</f>
        <v>46.1698485024056</v>
      </c>
      <c r="N25" s="34" t="n">
        <f aca="false">Cohorts!N21*Assumptions!$F$32</f>
        <v>52.6555168272076</v>
      </c>
      <c r="O25" s="34" t="n">
        <f aca="false">Cohorts!O21*Assumptions!$F$32</f>
        <v>59.5571214345875</v>
      </c>
      <c r="P25" s="34" t="n">
        <f aca="false">Cohorts!P21*Assumptions!$F$32</f>
        <v>67.1018792398698</v>
      </c>
      <c r="Q25" s="34" t="n">
        <f aca="false">Cohorts!Q21*Assumptions!$F$32</f>
        <v>75.3627515844895</v>
      </c>
      <c r="R25" s="34" t="n">
        <f aca="false">Cohorts!R21*Assumptions!$F$32</f>
        <v>84.4205093841166</v>
      </c>
      <c r="S25" s="34" t="n">
        <f aca="false">Cohorts!S21*Assumptions!$F$32</f>
        <v>94.3646295209978</v>
      </c>
      <c r="T25" s="34" t="n">
        <f aca="false">Cohorts!T21*Assumptions!$F$32</f>
        <v>105.294293540201</v>
      </c>
      <c r="U25" s="34" t="n">
        <f aca="false">Cohorts!U21*Assumptions!$F$32</f>
        <v>117.319500620069</v>
      </c>
      <c r="V25" s="34" t="n">
        <f aca="false">Cohorts!V21*Assumptions!$F$32</f>
        <v>130.562308192555</v>
      </c>
      <c r="W25" s="34" t="n">
        <f aca="false">Cohorts!W21*Assumptions!$F$32</f>
        <v>145.158215160976</v>
      </c>
      <c r="X25" s="34" t="n">
        <f aca="false">Cohorts!X21*Assumptions!$F$32</f>
        <v>161.257704420959</v>
      </c>
      <c r="Y25" s="34" t="n">
        <f aca="false">Cohorts!Y21*Assumptions!$F$32</f>
        <v>179.027963357037</v>
      </c>
      <c r="Z25" s="34" t="n">
        <f aca="false">Cohorts!Z21*Assumptions!$F$32</f>
        <v>198.654803187327</v>
      </c>
      <c r="AA25" s="34" t="n">
        <f aca="false">Cohorts!AA21*Assumptions!$F$32</f>
        <v>220.220060489754</v>
      </c>
      <c r="AB25" s="34" t="n">
        <f aca="false">Cohorts!AB21*Assumptions!$F$32</f>
        <v>244.065222195978</v>
      </c>
      <c r="AC25" s="34" t="n">
        <f aca="false">Cohorts!AC21*Assumptions!$F$32</f>
        <v>270.444559308</v>
      </c>
      <c r="AD25" s="34" t="n">
        <f aca="false">Cohorts!AD21*Assumptions!$F$32</f>
        <v>297.892162202639</v>
      </c>
      <c r="AE25" s="34" t="n">
        <f aca="false">Cohorts!AE21*Assumptions!$F$32</f>
        <v>325.172089614826</v>
      </c>
      <c r="AF25" s="34" t="n">
        <f aca="false">Cohorts!AF21*Assumptions!$F$32</f>
        <v>352.376056304772</v>
      </c>
      <c r="AG25" s="34" t="n">
        <f aca="false">Cohorts!AG21*Assumptions!$F$32</f>
        <v>379.596609099414</v>
      </c>
      <c r="AH25" s="34" t="n">
        <f aca="false">Cohorts!AH21*Assumptions!$F$32</f>
        <v>406.927512364293</v>
      </c>
      <c r="AI25" s="34" t="n">
        <f aca="false">Cohorts!AI21*Assumptions!$F$32</f>
        <v>434.464139482641</v>
      </c>
      <c r="AJ25" s="34" t="n">
        <f aca="false">Cohorts!AJ21*Assumptions!$F$32</f>
        <v>461.188389565971</v>
      </c>
      <c r="AK25" s="34" t="n">
        <f aca="false">Cohorts!AK21*Assumptions!$F$32</f>
        <v>486.692163455433</v>
      </c>
      <c r="AL25" s="34" t="n">
        <f aca="false">Cohorts!AL21*Assumptions!$F$32</f>
        <v>511.016150440891</v>
      </c>
    </row>
    <row r="26" customFormat="false" ht="15" hidden="false" customHeight="false" outlineLevel="0" collapsed="false">
      <c r="A26" s="8" t="s">
        <v>236</v>
      </c>
      <c r="B26" s="14" t="s">
        <v>84</v>
      </c>
      <c r="C26" s="34" t="n">
        <f aca="false">C12*Assumptions!$F$33+C13*Assumptions!$F$34</f>
        <v>7.4646</v>
      </c>
      <c r="D26" s="34" t="n">
        <f aca="false">D12*Assumptions!$F$33+D13*Assumptions!$F$34</f>
        <v>11.42036918</v>
      </c>
      <c r="E26" s="34" t="n">
        <f aca="false">E12*Assumptions!$F$33+E13*Assumptions!$F$34</f>
        <v>15.583260885654</v>
      </c>
      <c r="F26" s="34" t="n">
        <f aca="false">F12*Assumptions!$F$33+F13*Assumptions!$F$34</f>
        <v>19.9858732110169</v>
      </c>
      <c r="G26" s="34" t="n">
        <f aca="false">G12*Assumptions!$F$33+G13*Assumptions!$F$34</f>
        <v>24.6636624560389</v>
      </c>
      <c r="H26" s="34" t="n">
        <f aca="false">H12*Assumptions!$F$33+H13*Assumptions!$F$34</f>
        <v>29.6552978415196</v>
      </c>
      <c r="I26" s="34" t="n">
        <f aca="false">I12*Assumptions!$F$33+I13*Assumptions!$F$34</f>
        <v>35.0030542179474</v>
      </c>
      <c r="J26" s="34" t="n">
        <f aca="false">J12*Assumptions!$F$33+J13*Assumptions!$F$34</f>
        <v>40.7532472779744</v>
      </c>
      <c r="K26" s="34" t="n">
        <f aca="false">K12*Assumptions!$F$33+K13*Assumptions!$F$34</f>
        <v>46.9567163013376</v>
      </c>
      <c r="L26" s="34" t="n">
        <f aca="false">L12*Assumptions!$F$33+L13*Assumptions!$F$34</f>
        <v>53.6693600416592</v>
      </c>
      <c r="M26" s="34" t="n">
        <f aca="false">M12*Assumptions!$F$33+M13*Assumptions!$F$34</f>
        <v>60.9527320140054</v>
      </c>
      <c r="N26" s="34" t="n">
        <f aca="false">N12*Assumptions!$F$33+N13*Assumptions!$F$34</f>
        <v>68.8747021684989</v>
      </c>
      <c r="O26" s="34" t="n">
        <f aca="false">O12*Assumptions!$F$33+O13*Assumptions!$F$34</f>
        <v>80.3514927477627</v>
      </c>
      <c r="P26" s="34" t="n">
        <f aca="false">P12*Assumptions!$F$33+P13*Assumptions!$F$34</f>
        <v>90.0690113339183</v>
      </c>
      <c r="Q26" s="34" t="n">
        <f aca="false">Q12*Assumptions!$F$33+Q13*Assumptions!$F$34</f>
        <v>100.70241558504</v>
      </c>
      <c r="R26" s="34" t="n">
        <f aca="false">R12*Assumptions!$F$33+R13*Assumptions!$F$34</f>
        <v>112.356101855369</v>
      </c>
      <c r="S26" s="34" t="n">
        <f aca="false">S12*Assumptions!$F$33+S13*Assumptions!$F$34</f>
        <v>125.145720866269</v>
      </c>
      <c r="T26" s="34" t="n">
        <f aca="false">T12*Assumptions!$F$33+T13*Assumptions!$F$34</f>
        <v>139.199474131271</v>
      </c>
      <c r="U26" s="34" t="n">
        <f aca="false">U12*Assumptions!$F$33+U13*Assumptions!$F$34</f>
        <v>154.659558884309</v>
      </c>
      <c r="V26" s="34" t="n">
        <f aca="false">V12*Assumptions!$F$33+V13*Assumptions!$F$34</f>
        <v>171.683778923279</v>
      </c>
      <c r="W26" s="34" t="n">
        <f aca="false">W12*Assumptions!$F$33+W13*Assumptions!$F$34</f>
        <v>190.447340828878</v>
      </c>
      <c r="X26" s="34" t="n">
        <f aca="false">X12*Assumptions!$F$33+X13*Assumptions!$F$34</f>
        <v>211.144857309331</v>
      </c>
      <c r="Y26" s="34" t="n">
        <f aca="false">Y12*Assumptions!$F$33+Y13*Assumptions!$F$34</f>
        <v>233.992581984165</v>
      </c>
      <c r="Z26" s="34" t="n">
        <f aca="false">Z12*Assumptions!$F$33+Z13*Assumptions!$F$34</f>
        <v>259.230902786813</v>
      </c>
      <c r="AA26" s="34" t="n">
        <f aca="false">AA12*Assumptions!$F$33+AA13*Assumptions!$F$34</f>
        <v>289.116034372895</v>
      </c>
      <c r="AB26" s="34" t="n">
        <f aca="false">AB12*Assumptions!$F$33+AB13*Assumptions!$F$34</f>
        <v>320.166920940959</v>
      </c>
      <c r="AC26" s="34" t="n">
        <f aca="false">AC12*Assumptions!$F$33+AC13*Assumptions!$F$34</f>
        <v>354.52338925753</v>
      </c>
      <c r="AD26" s="34" t="n">
        <f aca="false">AD12*Assumptions!$F$33+AD13*Assumptions!$F$34</f>
        <v>388.160299077025</v>
      </c>
      <c r="AE26" s="34" t="n">
        <f aca="false">AE12*Assumptions!$F$33+AE13*Assumptions!$F$34</f>
        <v>419.891475772764</v>
      </c>
      <c r="AF26" s="34" t="n">
        <f aca="false">AF12*Assumptions!$F$33+AF13*Assumptions!$F$34</f>
        <v>451.589525074416</v>
      </c>
      <c r="AG26" s="34" t="n">
        <f aca="false">AG12*Assumptions!$F$33+AG13*Assumptions!$F$34</f>
        <v>483.40456947548</v>
      </c>
      <c r="AH26" s="34" t="n">
        <f aca="false">AH12*Assumptions!$F$33+AH13*Assumptions!$F$34</f>
        <v>515.490809748702</v>
      </c>
      <c r="AI26" s="34" t="n">
        <f aca="false">AI12*Assumptions!$F$33+AI13*Assumptions!$F$34</f>
        <v>548.007406863565</v>
      </c>
      <c r="AJ26" s="34" t="n">
        <f aca="false">AJ12*Assumptions!$F$33+AJ13*Assumptions!$F$34</f>
        <v>578.315836788346</v>
      </c>
      <c r="AK26" s="34" t="n">
        <f aca="false">AK12*Assumptions!$F$33+AK13*Assumptions!$F$34</f>
        <v>606.77819304991</v>
      </c>
      <c r="AL26" s="34" t="n">
        <f aca="false">AL12*Assumptions!$F$33+AL13*Assumptions!$F$34</f>
        <v>634.102518523474</v>
      </c>
    </row>
    <row r="27" customFormat="false" ht="15" hidden="false" customHeight="false" outlineLevel="0" collapsed="false">
      <c r="A27" s="8" t="s">
        <v>119</v>
      </c>
      <c r="B27" s="14" t="s">
        <v>84</v>
      </c>
      <c r="C27" s="34" t="n">
        <f aca="false">Assumptions!$F$35</f>
        <v>70</v>
      </c>
      <c r="D27" s="34" t="n">
        <f aca="false">Assumptions!$F$35</f>
        <v>70</v>
      </c>
      <c r="E27" s="34" t="n">
        <f aca="false">Assumptions!$F$35</f>
        <v>70</v>
      </c>
      <c r="F27" s="34" t="n">
        <f aca="false">Assumptions!$F$35</f>
        <v>70</v>
      </c>
      <c r="G27" s="34" t="n">
        <f aca="false">Assumptions!$F$35</f>
        <v>70</v>
      </c>
      <c r="H27" s="34" t="n">
        <f aca="false">Assumptions!$F$35</f>
        <v>70</v>
      </c>
      <c r="I27" s="34" t="n">
        <f aca="false">Assumptions!$F$35</f>
        <v>70</v>
      </c>
      <c r="J27" s="34" t="n">
        <f aca="false">Assumptions!$F$35</f>
        <v>70</v>
      </c>
      <c r="K27" s="34" t="n">
        <f aca="false">Assumptions!$F$35</f>
        <v>70</v>
      </c>
      <c r="L27" s="34" t="n">
        <f aca="false">Assumptions!$F$35</f>
        <v>70</v>
      </c>
      <c r="M27" s="34" t="n">
        <f aca="false">Assumptions!$F$35</f>
        <v>70</v>
      </c>
      <c r="N27" s="34" t="n">
        <f aca="false">Assumptions!$F$35</f>
        <v>70</v>
      </c>
      <c r="O27" s="34" t="n">
        <f aca="false">Assumptions!$F$35</f>
        <v>70</v>
      </c>
      <c r="P27" s="34" t="n">
        <f aca="false">Assumptions!$F$35</f>
        <v>70</v>
      </c>
      <c r="Q27" s="34" t="n">
        <f aca="false">Assumptions!$F$35</f>
        <v>70</v>
      </c>
      <c r="R27" s="34" t="n">
        <f aca="false">Assumptions!$F$35</f>
        <v>70</v>
      </c>
      <c r="S27" s="34" t="n">
        <f aca="false">Assumptions!$F$35</f>
        <v>70</v>
      </c>
      <c r="T27" s="34" t="n">
        <f aca="false">Assumptions!$F$35</f>
        <v>70</v>
      </c>
      <c r="U27" s="34" t="n">
        <f aca="false">Assumptions!$F$35</f>
        <v>70</v>
      </c>
      <c r="V27" s="34" t="n">
        <f aca="false">Assumptions!$F$35</f>
        <v>70</v>
      </c>
      <c r="W27" s="34" t="n">
        <f aca="false">Assumptions!$F$35</f>
        <v>70</v>
      </c>
      <c r="X27" s="34" t="n">
        <f aca="false">Assumptions!$F$35</f>
        <v>70</v>
      </c>
      <c r="Y27" s="34" t="n">
        <f aca="false">Assumptions!$F$35</f>
        <v>70</v>
      </c>
      <c r="Z27" s="34" t="n">
        <f aca="false">Assumptions!$F$35</f>
        <v>70</v>
      </c>
      <c r="AA27" s="34" t="n">
        <f aca="false">Assumptions!$F$35</f>
        <v>70</v>
      </c>
      <c r="AB27" s="34" t="n">
        <f aca="false">Assumptions!$F$35</f>
        <v>70</v>
      </c>
      <c r="AC27" s="34" t="n">
        <f aca="false">Assumptions!$F$35</f>
        <v>70</v>
      </c>
      <c r="AD27" s="34" t="n">
        <f aca="false">Assumptions!$F$35</f>
        <v>70</v>
      </c>
      <c r="AE27" s="34" t="n">
        <f aca="false">Assumptions!$F$35</f>
        <v>70</v>
      </c>
      <c r="AF27" s="34" t="n">
        <f aca="false">Assumptions!$F$35</f>
        <v>70</v>
      </c>
      <c r="AG27" s="34" t="n">
        <f aca="false">Assumptions!$F$35</f>
        <v>70</v>
      </c>
      <c r="AH27" s="34" t="n">
        <f aca="false">Assumptions!$F$35</f>
        <v>70</v>
      </c>
      <c r="AI27" s="34" t="n">
        <f aca="false">Assumptions!$F$35</f>
        <v>70</v>
      </c>
      <c r="AJ27" s="34" t="n">
        <f aca="false">Assumptions!$F$35</f>
        <v>70</v>
      </c>
      <c r="AK27" s="34" t="n">
        <f aca="false">Assumptions!$F$35</f>
        <v>70</v>
      </c>
      <c r="AL27" s="34" t="n">
        <f aca="false">Assumptions!$F$35</f>
        <v>70</v>
      </c>
    </row>
    <row r="28" customFormat="false" ht="15" hidden="false" customHeight="false" outlineLevel="0" collapsed="false">
      <c r="A28" s="37" t="s">
        <v>237</v>
      </c>
      <c r="B28" s="38" t="s">
        <v>84</v>
      </c>
      <c r="C28" s="45" t="n">
        <f aca="false">SUM(C23:C27)</f>
        <v>84.8896</v>
      </c>
      <c r="D28" s="45" t="n">
        <f aca="false">SUM(D23:D27)</f>
        <v>96.66447168</v>
      </c>
      <c r="E28" s="45" t="n">
        <f aca="false">SUM(E23:E27)</f>
        <v>109.101148803904</v>
      </c>
      <c r="F28" s="45" t="n">
        <f aca="false">SUM(F23:F27)</f>
        <v>122.298092020761</v>
      </c>
      <c r="G28" s="45" t="n">
        <f aca="false">SUM(G23:G27)</f>
        <v>136.362552244891</v>
      </c>
      <c r="H28" s="45" t="n">
        <f aca="false">SUM(H23:H27)</f>
        <v>151.411644522365</v>
      </c>
      <c r="I28" s="45" t="n">
        <f aca="false">SUM(I23:I27)</f>
        <v>167.573537303394</v>
      </c>
      <c r="J28" s="45" t="n">
        <f aca="false">SUM(J23:J27)</f>
        <v>184.988770752433</v>
      </c>
      <c r="K28" s="45" t="n">
        <f aca="false">SUM(K23:K27)</f>
        <v>203.811719296949</v>
      </c>
      <c r="L28" s="45" t="n">
        <f aca="false">SUM(L23:L27)</f>
        <v>224.212215370699</v>
      </c>
      <c r="M28" s="45" t="n">
        <f aca="false">SUM(M23:M27)</f>
        <v>246.377353270019</v>
      </c>
      <c r="N28" s="45" t="n">
        <f aca="false">SUM(N23:N27)</f>
        <v>270.513494236518</v>
      </c>
      <c r="O28" s="45" t="n">
        <f aca="false">SUM(O23:O27)</f>
        <v>299.244296334231</v>
      </c>
      <c r="P28" s="45" t="n">
        <f aca="false">SUM(P23:P27)</f>
        <v>327.823709433593</v>
      </c>
      <c r="Q28" s="45" t="n">
        <f aca="false">SUM(Q23:Q27)</f>
        <v>359.109294546264</v>
      </c>
      <c r="R28" s="45" t="n">
        <f aca="false">SUM(R23:R27)</f>
        <v>393.407375315661</v>
      </c>
      <c r="S28" s="45" t="n">
        <f aca="false">SUM(S23:S27)</f>
        <v>431.057294668763</v>
      </c>
      <c r="T28" s="45" t="n">
        <f aca="false">SUM(T23:T27)</f>
        <v>472.435207981773</v>
      </c>
      <c r="U28" s="45" t="n">
        <f aca="false">SUM(U23:U27)</f>
        <v>517.958310434482</v>
      </c>
      <c r="V28" s="45" t="n">
        <f aca="false">SUM(V23:V27)</f>
        <v>568.089549404667</v>
      </c>
      <c r="W28" s="45" t="n">
        <f aca="false">SUM(W23:W27)</f>
        <v>623.342878731318</v>
      </c>
      <c r="X28" s="45" t="n">
        <f aca="false">SUM(X23:X27)</f>
        <v>684.28911836173</v>
      </c>
      <c r="Y28" s="45" t="n">
        <f aca="false">SUM(Y23:Y27)</f>
        <v>751.562490376758</v>
      </c>
      <c r="Z28" s="45" t="n">
        <f aca="false">SUM(Z23:Z27)</f>
        <v>825.867910755131</v>
      </c>
      <c r="AA28" s="45" t="n">
        <f aca="false">SUM(AA23:AA27)</f>
        <v>909.666185597279</v>
      </c>
      <c r="AB28" s="45" t="n">
        <f aca="false">SUM(AB23:AB27)</f>
        <v>1000.3299764309</v>
      </c>
      <c r="AC28" s="45" t="n">
        <f aca="false">SUM(AC23:AC27)</f>
        <v>1100.63478752753</v>
      </c>
      <c r="AD28" s="45" t="n">
        <f aca="false">SUM(AD23:AD27)</f>
        <v>1202.89070458362</v>
      </c>
      <c r="AE28" s="45" t="n">
        <f aca="false">SUM(AE23:AE27)</f>
        <v>1302.82169980983</v>
      </c>
      <c r="AF28" s="45" t="n">
        <f aca="false">SUM(AF23:AF27)</f>
        <v>1402.52966583635</v>
      </c>
      <c r="AG28" s="45" t="n">
        <f aca="false">SUM(AG23:AG27)</f>
        <v>1502.39609222401</v>
      </c>
      <c r="AH28" s="45" t="n">
        <f aca="false">SUM(AH23:AH27)</f>
        <v>1602.80959065944</v>
      </c>
      <c r="AI28" s="45" t="n">
        <f aca="false">SUM(AI23:AI27)</f>
        <v>1704.16775557017</v>
      </c>
      <c r="AJ28" s="45" t="n">
        <f aca="false">SUM(AJ23:AJ27)</f>
        <v>1801.28681070327</v>
      </c>
      <c r="AK28" s="45" t="n">
        <f aca="false">SUM(AK23:AK27)</f>
        <v>1893.50860168849</v>
      </c>
      <c r="AL28" s="45" t="n">
        <f aca="false">SUM(AL23:AL27)</f>
        <v>1981.6428946257</v>
      </c>
    </row>
    <row r="30" customFormat="false" ht="15" hidden="false" customHeight="false" outlineLevel="0" collapsed="false">
      <c r="A30" s="5" t="s">
        <v>238</v>
      </c>
      <c r="B30" s="14" t="s">
        <v>84</v>
      </c>
      <c r="C30" s="47" t="n">
        <f aca="false">C18-C28</f>
        <v>29.9504</v>
      </c>
      <c r="D30" s="47" t="n">
        <f aca="false">D18-D28</f>
        <v>138.92090032</v>
      </c>
      <c r="E30" s="47" t="n">
        <f aca="false">E18-E28</f>
        <v>254.064136267696</v>
      </c>
      <c r="F30" s="47" t="n">
        <f aca="false">F18-F28</f>
        <v>376.29105615201</v>
      </c>
      <c r="G30" s="47" t="n">
        <f aca="false">G18-G28</f>
        <v>506.593992302904</v>
      </c>
      <c r="H30" s="47" t="n">
        <f aca="false">H18-H28</f>
        <v>646.056577119906</v>
      </c>
      <c r="I30" s="47" t="n">
        <f aca="false">I18-I28</f>
        <v>795.864724205929</v>
      </c>
      <c r="J30" s="47" t="n">
        <f aca="false">J18-J28</f>
        <v>957.318800262498</v>
      </c>
      <c r="K30" s="47" t="n">
        <f aca="false">K18-K28</f>
        <v>1131.84712788221</v>
      </c>
      <c r="L30" s="47" t="n">
        <f aca="false">L18-L28</f>
        <v>1321.02097554531</v>
      </c>
      <c r="M30" s="47" t="n">
        <f aca="false">M18-M28</f>
        <v>1526.57120921151</v>
      </c>
      <c r="N30" s="47" t="n">
        <f aca="false">N18-N28</f>
        <v>1750.40680012187</v>
      </c>
      <c r="O30" s="47" t="n">
        <f aca="false">O18-O28</f>
        <v>1986.29960604143</v>
      </c>
      <c r="P30" s="47" t="n">
        <f aca="false">P18-P28</f>
        <v>2246.89361414498</v>
      </c>
      <c r="Q30" s="47" t="n">
        <f aca="false">Q18-Q28</f>
        <v>2532.1247270395</v>
      </c>
      <c r="R30" s="47" t="n">
        <f aca="false">R18-R28</f>
        <v>2844.77874370951</v>
      </c>
      <c r="S30" s="47" t="n">
        <f aca="false">S18-S28</f>
        <v>3187.9414147376</v>
      </c>
      <c r="T30" s="47" t="n">
        <f aca="false">T18-T28</f>
        <v>3565.03287609187</v>
      </c>
      <c r="U30" s="47" t="n">
        <f aca="false">U18-U28</f>
        <v>3979.84602202684</v>
      </c>
      <c r="V30" s="47" t="n">
        <f aca="false">V18-V28</f>
        <v>4436.58927826374</v>
      </c>
      <c r="W30" s="47" t="n">
        <f aca="false">W18-W28</f>
        <v>4939.93429080952</v>
      </c>
      <c r="X30" s="47" t="n">
        <f aca="false">X18-X28</f>
        <v>5495.06910639188</v>
      </c>
      <c r="Y30" s="47" t="n">
        <f aca="false">Y18-Y28</f>
        <v>6107.75748829371</v>
      </c>
      <c r="Z30" s="47" t="n">
        <f aca="false">Z18-Z28</f>
        <v>6784.40508721965</v>
      </c>
      <c r="AA30" s="47" t="n">
        <f aca="false">AA18-AA28</f>
        <v>7526.29821167725</v>
      </c>
      <c r="AB30" s="47" t="n">
        <f aca="false">AB18-AB28</f>
        <v>8348.5783097416</v>
      </c>
      <c r="AC30" s="47" t="n">
        <f aca="false">AC18-AC28</f>
        <v>9258.20624694298</v>
      </c>
      <c r="AD30" s="47" t="n">
        <f aca="false">AD18-AD28</f>
        <v>10206.0838480925</v>
      </c>
      <c r="AE30" s="47" t="n">
        <f aca="false">AE18-AE28</f>
        <v>11148.6910561055</v>
      </c>
      <c r="AF30" s="47" t="n">
        <f aca="false">AF18-AF28</f>
        <v>12087.550441492</v>
      </c>
      <c r="AG30" s="47" t="n">
        <f aca="false">AG18-AG28</f>
        <v>13025.9362803103</v>
      </c>
      <c r="AH30" s="47" t="n">
        <f aca="false">AH18-AH28</f>
        <v>13967.1625579449</v>
      </c>
      <c r="AI30" s="47" t="n">
        <f aca="false">AI18-AI28</f>
        <v>14914.5969140354</v>
      </c>
      <c r="AJ30" s="47" t="n">
        <f aca="false">AJ18-AJ28</f>
        <v>15834.1351626571</v>
      </c>
      <c r="AK30" s="47" t="n">
        <f aca="false">AK18-AK28</f>
        <v>16710.807544374</v>
      </c>
      <c r="AL30" s="47" t="n">
        <f aca="false">AL18-AL28</f>
        <v>17545.5639578426</v>
      </c>
    </row>
    <row r="31" customFormat="false" ht="15" hidden="false" customHeight="false" outlineLevel="0" collapsed="false">
      <c r="A31" s="5" t="s">
        <v>239</v>
      </c>
      <c r="B31" s="14" t="s">
        <v>87</v>
      </c>
      <c r="C31" s="48" t="n">
        <f aca="false">IF(C18=0,0,C30/C18)</f>
        <v>0.260801114594218</v>
      </c>
      <c r="D31" s="48" t="n">
        <f aca="false">IF(D18=0,0,D30/D18)</f>
        <v>0.589683897351657</v>
      </c>
      <c r="E31" s="48" t="n">
        <f aca="false">IF(E18=0,0,E30/E18)</f>
        <v>0.699582660323951</v>
      </c>
      <c r="F31" s="48" t="n">
        <f aca="false">IF(F18=0,0,F30/F18)</f>
        <v>0.754711685023714</v>
      </c>
      <c r="G31" s="48" t="n">
        <f aca="false">IF(G18=0,0,G30/G18)</f>
        <v>0.787913268165273</v>
      </c>
      <c r="H31" s="48" t="n">
        <f aca="false">IF(H18=0,0,H30/H18)</f>
        <v>0.810134572872942</v>
      </c>
      <c r="I31" s="48" t="n">
        <f aca="false">IF(I18=0,0,I30/I18)</f>
        <v>0.826067176280841</v>
      </c>
      <c r="J31" s="48" t="n">
        <f aca="false">IF(J18=0,0,J30/J18)</f>
        <v>0.838056951169402</v>
      </c>
      <c r="K31" s="48" t="n">
        <f aca="false">IF(K18=0,0,K30/K18)</f>
        <v>0.84740735276273</v>
      </c>
      <c r="L31" s="48" t="n">
        <f aca="false">IF(L18=0,0,L30/L18)</f>
        <v>0.854900725218188</v>
      </c>
      <c r="M31" s="48" t="n">
        <f aca="false">IF(M18=0,0,M30/M18)</f>
        <v>0.861035250269656</v>
      </c>
      <c r="N31" s="48" t="n">
        <f aca="false">IF(N18=0,0,N30/N18)</f>
        <v>0.866143412488021</v>
      </c>
      <c r="O31" s="48" t="n">
        <f aca="false">IF(O18=0,0,O30/O18)</f>
        <v>0.869070860540816</v>
      </c>
      <c r="P31" s="48" t="n">
        <f aca="false">IF(P18=0,0,P30/P18)</f>
        <v>0.872675844283382</v>
      </c>
      <c r="Q31" s="48" t="n">
        <f aca="false">IF(Q18=0,0,Q30/Q18)</f>
        <v>0.875793764231751</v>
      </c>
      <c r="R31" s="48" t="n">
        <f aca="false">IF(R18=0,0,R30/R18)</f>
        <v>0.878509955618582</v>
      </c>
      <c r="S31" s="48" t="n">
        <f aca="false">IF(S18=0,0,S30/S18)</f>
        <v>0.880890453608515</v>
      </c>
      <c r="T31" s="48" t="n">
        <f aca="false">IF(T18=0,0,T30/T18)</f>
        <v>0.882987258810699</v>
      </c>
      <c r="U31" s="48" t="n">
        <f aca="false">IF(U18=0,0,U30/U18)</f>
        <v>0.884841964623428</v>
      </c>
      <c r="V31" s="48" t="n">
        <f aca="false">IF(V18=0,0,V30/V18)</f>
        <v>0.886488310445821</v>
      </c>
      <c r="W31" s="48" t="n">
        <f aca="false">IF(W18=0,0,W30/W18)</f>
        <v>0.887954013482531</v>
      </c>
      <c r="X31" s="48" t="n">
        <f aca="false">IF(X18=0,0,X30/X18)</f>
        <v>0.889262105630878</v>
      </c>
      <c r="Y31" s="48" t="n">
        <f aca="false">IF(Y18=0,0,Y30/Y18)</f>
        <v>0.890431924343259</v>
      </c>
      <c r="Z31" s="48" t="n">
        <f aca="false">IF(Z18=0,0,Z30/Z18)</f>
        <v>0.891479857427597</v>
      </c>
      <c r="AA31" s="48" t="n">
        <f aca="false">IF(AA18=0,0,AA30/AA18)</f>
        <v>0.89216808621298</v>
      </c>
      <c r="AB31" s="48" t="n">
        <f aca="false">IF(AB18=0,0,AB30/AB18)</f>
        <v>0.893000343375874</v>
      </c>
      <c r="AC31" s="48" t="n">
        <f aca="false">IF(AC18=0,0,AC30/AC18)</f>
        <v>0.89374923470058</v>
      </c>
      <c r="AD31" s="48" t="n">
        <f aca="false">IF(AD18=0,0,AD30/AD18)</f>
        <v>0.894566273328967</v>
      </c>
      <c r="AE31" s="48" t="n">
        <f aca="false">IF(AE18=0,0,AE30/AE18)</f>
        <v>0.895368400181665</v>
      </c>
      <c r="AF31" s="48" t="n">
        <f aca="false">IF(AF18=0,0,AF30/AF18)</f>
        <v>0.896032517622009</v>
      </c>
      <c r="AG31" s="48" t="n">
        <f aca="false">IF(AG18=0,0,AG30/AG18)</f>
        <v>0.896588537920272</v>
      </c>
      <c r="AH31" s="48" t="n">
        <f aca="false">IF(AH18=0,0,AH30/AH18)</f>
        <v>0.897057645616719</v>
      </c>
      <c r="AI31" s="48" t="n">
        <f aca="false">IF(AI18=0,0,AI30/AI18)</f>
        <v>0.897455208648152</v>
      </c>
      <c r="AJ31" s="48" t="n">
        <f aca="false">IF(AJ18=0,0,AJ30/AJ18)</f>
        <v>0.897859727233958</v>
      </c>
      <c r="AK31" s="48" t="n">
        <f aca="false">IF(AK18=0,0,AK30/AK18)</f>
        <v>0.898222079929057</v>
      </c>
      <c r="AL31" s="48" t="n">
        <f aca="false">IF(AL18=0,0,AL30/AL18)</f>
        <v>0.898518876273633</v>
      </c>
    </row>
    <row r="33" customFormat="false" ht="15" hidden="false" customHeight="false" outlineLevel="0" collapsed="false">
      <c r="A33" s="3" t="s">
        <v>121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customFormat="false" ht="15" hidden="false" customHeight="false" outlineLevel="0" collapsed="false">
      <c r="A34" s="8" t="s">
        <v>240</v>
      </c>
      <c r="B34" s="14" t="s">
        <v>84</v>
      </c>
      <c r="C34" s="49" t="n">
        <f aca="false">Cohorts!C8</f>
        <v>500</v>
      </c>
      <c r="D34" s="49" t="n">
        <f aca="false">Cohorts!D8</f>
        <v>540</v>
      </c>
      <c r="E34" s="49" t="n">
        <f aca="false">Cohorts!E8</f>
        <v>583.2</v>
      </c>
      <c r="F34" s="49" t="n">
        <f aca="false">Cohorts!F8</f>
        <v>629.856</v>
      </c>
      <c r="G34" s="49" t="n">
        <f aca="false">Cohorts!G8</f>
        <v>680.24448</v>
      </c>
      <c r="H34" s="49" t="n">
        <f aca="false">Cohorts!H8</f>
        <v>734.6640384</v>
      </c>
      <c r="I34" s="49" t="n">
        <f aca="false">Cohorts!I8</f>
        <v>793.437161472</v>
      </c>
      <c r="J34" s="49" t="n">
        <f aca="false">Cohorts!J8</f>
        <v>856.912134389761</v>
      </c>
      <c r="K34" s="49" t="n">
        <f aca="false">Cohorts!K8</f>
        <v>925.465105140941</v>
      </c>
      <c r="L34" s="49" t="n">
        <f aca="false">Cohorts!L8</f>
        <v>999.502313552217</v>
      </c>
      <c r="M34" s="49" t="n">
        <f aca="false">Cohorts!M8</f>
        <v>1079.46249863639</v>
      </c>
      <c r="N34" s="49" t="n">
        <f aca="false">Cohorts!N8</f>
        <v>1165.81949852731</v>
      </c>
      <c r="O34" s="49" t="n">
        <f aca="false">Cohorts!O8</f>
        <v>1259.08505840949</v>
      </c>
      <c r="P34" s="49" t="n">
        <f aca="false">Cohorts!P8</f>
        <v>1359.81186308225</v>
      </c>
      <c r="Q34" s="49" t="n">
        <f aca="false">Cohorts!Q8</f>
        <v>1468.59681212883</v>
      </c>
      <c r="R34" s="49" t="n">
        <f aca="false">Cohorts!R8</f>
        <v>1586.08455709914</v>
      </c>
      <c r="S34" s="49" t="n">
        <f aca="false">Cohorts!S8</f>
        <v>1712.97132166707</v>
      </c>
      <c r="T34" s="49" t="n">
        <f aca="false">Cohorts!T8</f>
        <v>1850.00902740043</v>
      </c>
      <c r="U34" s="49" t="n">
        <f aca="false">Cohorts!U8</f>
        <v>1998.00974959247</v>
      </c>
      <c r="V34" s="49" t="n">
        <f aca="false">Cohorts!V8</f>
        <v>2157.85052955986</v>
      </c>
      <c r="W34" s="49" t="n">
        <f aca="false">Cohorts!W8</f>
        <v>2330.47857192465</v>
      </c>
      <c r="X34" s="49" t="n">
        <f aca="false">Cohorts!X8</f>
        <v>2516.91685767863</v>
      </c>
      <c r="Y34" s="49" t="n">
        <f aca="false">Cohorts!Y8</f>
        <v>2718.27020629292</v>
      </c>
      <c r="Z34" s="49" t="n">
        <f aca="false">Cohorts!Z8</f>
        <v>2935.73182279635</v>
      </c>
      <c r="AA34" s="49" t="n">
        <f aca="false">Cohorts!AA8</f>
        <v>3170.59036862006</v>
      </c>
      <c r="AB34" s="49" t="n">
        <f aca="false">Cohorts!AB8</f>
        <v>3424.23759810966</v>
      </c>
      <c r="AC34" s="49" t="n">
        <f aca="false">Cohorts!AC8</f>
        <v>3698.17660595844</v>
      </c>
      <c r="AD34" s="49" t="n">
        <f aca="false">Cohorts!AD8</f>
        <v>3994.03073443511</v>
      </c>
      <c r="AE34" s="49" t="n">
        <f aca="false">Cohorts!AE8</f>
        <v>4313.55319318992</v>
      </c>
      <c r="AF34" s="49" t="n">
        <f aca="false">Cohorts!AF8</f>
        <v>4658.63744864512</v>
      </c>
      <c r="AG34" s="49" t="n">
        <f aca="false">Cohorts!AG8</f>
        <v>5031.32844453673</v>
      </c>
      <c r="AH34" s="49" t="n">
        <f aca="false">Cohorts!AH8</f>
        <v>5433.83472009966</v>
      </c>
      <c r="AI34" s="49" t="n">
        <f aca="false">Cohorts!AI8</f>
        <v>5868.54149770764</v>
      </c>
      <c r="AJ34" s="49" t="n">
        <f aca="false">Cohorts!AJ8</f>
        <v>6000</v>
      </c>
      <c r="AK34" s="49" t="n">
        <f aca="false">Cohorts!AK8</f>
        <v>6000</v>
      </c>
      <c r="AL34" s="49" t="n">
        <f aca="false">Cohorts!AL8</f>
        <v>6000</v>
      </c>
    </row>
    <row r="35" customFormat="false" ht="15" hidden="false" customHeight="false" outlineLevel="0" collapsed="false">
      <c r="A35" s="8" t="s">
        <v>241</v>
      </c>
      <c r="B35" s="14" t="s">
        <v>84</v>
      </c>
      <c r="C35" s="34" t="n">
        <f aca="false">IF(C5&gt;=Assumptions!$F$38,Assumptions!$F$37,0)</f>
        <v>0</v>
      </c>
      <c r="D35" s="34" t="n">
        <f aca="false">IF(D5&gt;=Assumptions!$F$38,Assumptions!$F$37,0)</f>
        <v>0</v>
      </c>
      <c r="E35" s="34" t="n">
        <f aca="false">IF(E5&gt;=Assumptions!$F$38,Assumptions!$F$37,0)</f>
        <v>0</v>
      </c>
      <c r="F35" s="34" t="n">
        <f aca="false">IF(F5&gt;=Assumptions!$F$38,Assumptions!$F$37,0)</f>
        <v>0</v>
      </c>
      <c r="G35" s="34" t="n">
        <f aca="false">IF(G5&gt;=Assumptions!$F$38,Assumptions!$F$37,0)</f>
        <v>0</v>
      </c>
      <c r="H35" s="34" t="n">
        <f aca="false">IF(H5&gt;=Assumptions!$F$38,Assumptions!$F$37,0)</f>
        <v>0</v>
      </c>
      <c r="I35" s="34" t="n">
        <f aca="false">IF(I5&gt;=Assumptions!$F$38,Assumptions!$F$37,0)</f>
        <v>0</v>
      </c>
      <c r="J35" s="34" t="n">
        <f aca="false">IF(J5&gt;=Assumptions!$F$38,Assumptions!$F$37,0)</f>
        <v>0</v>
      </c>
      <c r="K35" s="34" t="n">
        <f aca="false">IF(K5&gt;=Assumptions!$F$38,Assumptions!$F$37,0)</f>
        <v>0</v>
      </c>
      <c r="L35" s="34" t="n">
        <f aca="false">IF(L5&gt;=Assumptions!$F$38,Assumptions!$F$37,0)</f>
        <v>0</v>
      </c>
      <c r="M35" s="34" t="n">
        <f aca="false">IF(M5&gt;=Assumptions!$F$38,Assumptions!$F$37,0)</f>
        <v>0</v>
      </c>
      <c r="N35" s="34" t="n">
        <f aca="false">IF(N5&gt;=Assumptions!$F$38,Assumptions!$F$37,0)</f>
        <v>0</v>
      </c>
      <c r="O35" s="34" t="n">
        <f aca="false">IF(O5&gt;=Assumptions!$F$38,Assumptions!$F$37,0)</f>
        <v>2500</v>
      </c>
      <c r="P35" s="34" t="n">
        <f aca="false">IF(P5&gt;=Assumptions!$F$38,Assumptions!$F$37,0)</f>
        <v>2500</v>
      </c>
      <c r="Q35" s="34" t="n">
        <f aca="false">IF(Q5&gt;=Assumptions!$F$38,Assumptions!$F$37,0)</f>
        <v>2500</v>
      </c>
      <c r="R35" s="34" t="n">
        <f aca="false">IF(R5&gt;=Assumptions!$F$38,Assumptions!$F$37,0)</f>
        <v>2500</v>
      </c>
      <c r="S35" s="34" t="n">
        <f aca="false">IF(S5&gt;=Assumptions!$F$38,Assumptions!$F$37,0)</f>
        <v>2500</v>
      </c>
      <c r="T35" s="34" t="n">
        <f aca="false">IF(T5&gt;=Assumptions!$F$38,Assumptions!$F$37,0)</f>
        <v>2500</v>
      </c>
      <c r="U35" s="34" t="n">
        <f aca="false">IF(U5&gt;=Assumptions!$F$38,Assumptions!$F$37,0)</f>
        <v>2500</v>
      </c>
      <c r="V35" s="34" t="n">
        <f aca="false">IF(V5&gt;=Assumptions!$F$38,Assumptions!$F$37,0)</f>
        <v>2500</v>
      </c>
      <c r="W35" s="34" t="n">
        <f aca="false">IF(W5&gt;=Assumptions!$F$38,Assumptions!$F$37,0)</f>
        <v>2500</v>
      </c>
      <c r="X35" s="34" t="n">
        <f aca="false">IF(X5&gt;=Assumptions!$F$38,Assumptions!$F$37,0)</f>
        <v>2500</v>
      </c>
      <c r="Y35" s="34" t="n">
        <f aca="false">IF(Y5&gt;=Assumptions!$F$38,Assumptions!$F$37,0)</f>
        <v>2500</v>
      </c>
      <c r="Z35" s="34" t="n">
        <f aca="false">IF(Z5&gt;=Assumptions!$F$38,Assumptions!$F$37,0)</f>
        <v>2500</v>
      </c>
      <c r="AA35" s="34" t="n">
        <f aca="false">IF(AA5&gt;=Assumptions!$F$38,Assumptions!$F$37,0)</f>
        <v>2500</v>
      </c>
      <c r="AB35" s="34" t="n">
        <f aca="false">IF(AB5&gt;=Assumptions!$F$38,Assumptions!$F$37,0)</f>
        <v>2500</v>
      </c>
      <c r="AC35" s="34" t="n">
        <f aca="false">IF(AC5&gt;=Assumptions!$F$38,Assumptions!$F$37,0)</f>
        <v>2500</v>
      </c>
      <c r="AD35" s="34" t="n">
        <f aca="false">IF(AD5&gt;=Assumptions!$F$38,Assumptions!$F$37,0)</f>
        <v>2500</v>
      </c>
      <c r="AE35" s="34" t="n">
        <f aca="false">IF(AE5&gt;=Assumptions!$F$38,Assumptions!$F$37,0)</f>
        <v>2500</v>
      </c>
      <c r="AF35" s="34" t="n">
        <f aca="false">IF(AF5&gt;=Assumptions!$F$38,Assumptions!$F$37,0)</f>
        <v>2500</v>
      </c>
      <c r="AG35" s="34" t="n">
        <f aca="false">IF(AG5&gt;=Assumptions!$F$38,Assumptions!$F$37,0)</f>
        <v>2500</v>
      </c>
      <c r="AH35" s="34" t="n">
        <f aca="false">IF(AH5&gt;=Assumptions!$F$38,Assumptions!$F$37,0)</f>
        <v>2500</v>
      </c>
      <c r="AI35" s="34" t="n">
        <f aca="false">IF(AI5&gt;=Assumptions!$F$38,Assumptions!$F$37,0)</f>
        <v>2500</v>
      </c>
      <c r="AJ35" s="34" t="n">
        <f aca="false">IF(AJ5&gt;=Assumptions!$F$38,Assumptions!$F$37,0)</f>
        <v>2500</v>
      </c>
      <c r="AK35" s="34" t="n">
        <f aca="false">IF(AK5&gt;=Assumptions!$F$38,Assumptions!$F$37,0)</f>
        <v>2500</v>
      </c>
      <c r="AL35" s="34" t="n">
        <f aca="false">IF(AL5&gt;=Assumptions!$F$38,Assumptions!$F$37,0)</f>
        <v>2500</v>
      </c>
    </row>
    <row r="36" customFormat="false" ht="15" hidden="false" customHeight="false" outlineLevel="0" collapsed="false">
      <c r="A36" s="8" t="s">
        <v>127</v>
      </c>
      <c r="B36" s="14" t="s">
        <v>84</v>
      </c>
      <c r="C36" s="34" t="n">
        <f aca="false">Assumptions!$F$39*(1+Assumptions!$F$41)^(C5-1)</f>
        <v>120</v>
      </c>
      <c r="D36" s="34" t="n">
        <f aca="false">Assumptions!$F$39*(1+Assumptions!$F$41)^(D5-1)</f>
        <v>120.6</v>
      </c>
      <c r="E36" s="34" t="n">
        <f aca="false">Assumptions!$F$39*(1+Assumptions!$F$41)^(E5-1)</f>
        <v>121.203</v>
      </c>
      <c r="F36" s="34" t="n">
        <f aca="false">Assumptions!$F$39*(1+Assumptions!$F$41)^(F5-1)</f>
        <v>121.809015</v>
      </c>
      <c r="G36" s="34" t="n">
        <f aca="false">Assumptions!$F$39*(1+Assumptions!$F$41)^(G5-1)</f>
        <v>122.418060075</v>
      </c>
      <c r="H36" s="34" t="n">
        <f aca="false">Assumptions!$F$39*(1+Assumptions!$F$41)^(H5-1)</f>
        <v>123.030150375375</v>
      </c>
      <c r="I36" s="34" t="n">
        <f aca="false">Assumptions!$F$39*(1+Assumptions!$F$41)^(I5-1)</f>
        <v>123.645301127252</v>
      </c>
      <c r="J36" s="34" t="n">
        <f aca="false">Assumptions!$F$39*(1+Assumptions!$F$41)^(J5-1)</f>
        <v>124.263527632888</v>
      </c>
      <c r="K36" s="34" t="n">
        <f aca="false">Assumptions!$F$39*(1+Assumptions!$F$41)^(K5-1)</f>
        <v>124.884845271052</v>
      </c>
      <c r="L36" s="34" t="n">
        <f aca="false">Assumptions!$F$39*(1+Assumptions!$F$41)^(L5-1)</f>
        <v>125.509269497408</v>
      </c>
      <c r="M36" s="34" t="n">
        <f aca="false">Assumptions!$F$39*(1+Assumptions!$F$41)^(M5-1)</f>
        <v>126.136815844895</v>
      </c>
      <c r="N36" s="34" t="n">
        <f aca="false">Assumptions!$F$39*(1+Assumptions!$F$41)^(N5-1)</f>
        <v>126.767499924119</v>
      </c>
      <c r="O36" s="34" t="n">
        <f aca="false">Assumptions!$F$39*(1+Assumptions!$F$41)^(O5-1)</f>
        <v>127.40133742374</v>
      </c>
      <c r="P36" s="34" t="n">
        <f aca="false">Assumptions!$F$39*(1+Assumptions!$F$41)^(P5-1)</f>
        <v>128.038344110858</v>
      </c>
      <c r="Q36" s="34" t="n">
        <f aca="false">Assumptions!$F$39*(1+Assumptions!$F$41)^(Q5-1)</f>
        <v>128.678535831413</v>
      </c>
      <c r="R36" s="34" t="n">
        <f aca="false">Assumptions!$F$39*(1+Assumptions!$F$41)^(R5-1)</f>
        <v>129.32192851057</v>
      </c>
      <c r="S36" s="34" t="n">
        <f aca="false">Assumptions!$F$39*(1+Assumptions!$F$41)^(S5-1)</f>
        <v>129.968538153123</v>
      </c>
      <c r="T36" s="34" t="n">
        <f aca="false">Assumptions!$F$39*(1+Assumptions!$F$41)^(T5-1)</f>
        <v>130.618380843888</v>
      </c>
      <c r="U36" s="34" t="n">
        <f aca="false">Assumptions!$F$39*(1+Assumptions!$F$41)^(U5-1)</f>
        <v>131.271472748108</v>
      </c>
      <c r="V36" s="34" t="n">
        <f aca="false">Assumptions!$F$39*(1+Assumptions!$F$41)^(V5-1)</f>
        <v>131.927830111848</v>
      </c>
      <c r="W36" s="34" t="n">
        <f aca="false">Assumptions!$F$39*(1+Assumptions!$F$41)^(W5-1)</f>
        <v>132.587469262407</v>
      </c>
      <c r="X36" s="34" t="n">
        <f aca="false">Assumptions!$F$39*(1+Assumptions!$F$41)^(X5-1)</f>
        <v>133.250406608719</v>
      </c>
      <c r="Y36" s="34" t="n">
        <f aca="false">Assumptions!$F$39*(1+Assumptions!$F$41)^(Y5-1)</f>
        <v>133.916658641763</v>
      </c>
      <c r="Z36" s="34" t="n">
        <f aca="false">Assumptions!$F$39*(1+Assumptions!$F$41)^(Z5-1)</f>
        <v>134.586241934972</v>
      </c>
      <c r="AA36" s="34" t="n">
        <f aca="false">Assumptions!$F$39*(1+Assumptions!$F$41)^(AA5-1)</f>
        <v>135.259173144647</v>
      </c>
      <c r="AB36" s="34" t="n">
        <f aca="false">Assumptions!$F$39*(1+Assumptions!$F$41)^(AB5-1)</f>
        <v>135.93546901037</v>
      </c>
      <c r="AC36" s="34" t="n">
        <f aca="false">Assumptions!$F$39*(1+Assumptions!$F$41)^(AC5-1)</f>
        <v>136.615146355422</v>
      </c>
      <c r="AD36" s="34" t="n">
        <f aca="false">Assumptions!$F$39*(1+Assumptions!$F$41)^(AD5-1)</f>
        <v>137.298222087199</v>
      </c>
      <c r="AE36" s="34" t="n">
        <f aca="false">Assumptions!$F$39*(1+Assumptions!$F$41)^(AE5-1)</f>
        <v>137.984713197635</v>
      </c>
      <c r="AF36" s="34" t="n">
        <f aca="false">Assumptions!$F$39*(1+Assumptions!$F$41)^(AF5-1)</f>
        <v>138.674636763623</v>
      </c>
      <c r="AG36" s="34" t="n">
        <f aca="false">Assumptions!$F$39*(1+Assumptions!$F$41)^(AG5-1)</f>
        <v>139.368009947441</v>
      </c>
      <c r="AH36" s="34" t="n">
        <f aca="false">Assumptions!$F$39*(1+Assumptions!$F$41)^(AH5-1)</f>
        <v>140.064849997178</v>
      </c>
      <c r="AI36" s="34" t="n">
        <f aca="false">Assumptions!$F$39*(1+Assumptions!$F$41)^(AI5-1)</f>
        <v>140.765174247164</v>
      </c>
      <c r="AJ36" s="34" t="n">
        <f aca="false">Assumptions!$F$39*(1+Assumptions!$F$41)^(AJ5-1)</f>
        <v>141.4690001184</v>
      </c>
      <c r="AK36" s="34" t="n">
        <f aca="false">Assumptions!$F$39*(1+Assumptions!$F$41)^(AK5-1)</f>
        <v>142.176345118992</v>
      </c>
      <c r="AL36" s="34" t="n">
        <f aca="false">Assumptions!$F$39*(1+Assumptions!$F$41)^(AL5-1)</f>
        <v>142.887226844587</v>
      </c>
    </row>
    <row r="37" customFormat="false" ht="15" hidden="false" customHeight="false" outlineLevel="0" collapsed="false">
      <c r="A37" s="8" t="s">
        <v>129</v>
      </c>
      <c r="B37" s="14" t="s">
        <v>84</v>
      </c>
      <c r="C37" s="34" t="n">
        <f aca="false">Assumptions!$F$40*(1+Assumptions!$F$41)^(C5-1)</f>
        <v>80</v>
      </c>
      <c r="D37" s="34" t="n">
        <f aca="false">Assumptions!$F$40*(1+Assumptions!$F$41)^(D5-1)</f>
        <v>80.4</v>
      </c>
      <c r="E37" s="34" t="n">
        <f aca="false">Assumptions!$F$40*(1+Assumptions!$F$41)^(E5-1)</f>
        <v>80.802</v>
      </c>
      <c r="F37" s="34" t="n">
        <f aca="false">Assumptions!$F$40*(1+Assumptions!$F$41)^(F5-1)</f>
        <v>81.20601</v>
      </c>
      <c r="G37" s="34" t="n">
        <f aca="false">Assumptions!$F$40*(1+Assumptions!$F$41)^(G5-1)</f>
        <v>81.61204005</v>
      </c>
      <c r="H37" s="34" t="n">
        <f aca="false">Assumptions!$F$40*(1+Assumptions!$F$41)^(H5-1)</f>
        <v>82.02010025025</v>
      </c>
      <c r="I37" s="34" t="n">
        <f aca="false">Assumptions!$F$40*(1+Assumptions!$F$41)^(I5-1)</f>
        <v>82.4302007515012</v>
      </c>
      <c r="J37" s="34" t="n">
        <f aca="false">Assumptions!$F$40*(1+Assumptions!$F$41)^(J5-1)</f>
        <v>82.8423517552587</v>
      </c>
      <c r="K37" s="34" t="n">
        <f aca="false">Assumptions!$F$40*(1+Assumptions!$F$41)^(K5-1)</f>
        <v>83.256563514035</v>
      </c>
      <c r="L37" s="34" t="n">
        <f aca="false">Assumptions!$F$40*(1+Assumptions!$F$41)^(L5-1)</f>
        <v>83.6728463316051</v>
      </c>
      <c r="M37" s="34" t="n">
        <f aca="false">Assumptions!$F$40*(1+Assumptions!$F$41)^(M5-1)</f>
        <v>84.0912105632632</v>
      </c>
      <c r="N37" s="34" t="n">
        <f aca="false">Assumptions!$F$40*(1+Assumptions!$F$41)^(N5-1)</f>
        <v>84.5116666160795</v>
      </c>
      <c r="O37" s="34" t="n">
        <f aca="false">Assumptions!$F$40*(1+Assumptions!$F$41)^(O5-1)</f>
        <v>84.9342249491599</v>
      </c>
      <c r="P37" s="34" t="n">
        <f aca="false">Assumptions!$F$40*(1+Assumptions!$F$41)^(P5-1)</f>
        <v>85.3588960739057</v>
      </c>
      <c r="Q37" s="34" t="n">
        <f aca="false">Assumptions!$F$40*(1+Assumptions!$F$41)^(Q5-1)</f>
        <v>85.7856905542752</v>
      </c>
      <c r="R37" s="34" t="n">
        <f aca="false">Assumptions!$F$40*(1+Assumptions!$F$41)^(R5-1)</f>
        <v>86.2146190070465</v>
      </c>
      <c r="S37" s="34" t="n">
        <f aca="false">Assumptions!$F$40*(1+Assumptions!$F$41)^(S5-1)</f>
        <v>86.6456921020818</v>
      </c>
      <c r="T37" s="34" t="n">
        <f aca="false">Assumptions!$F$40*(1+Assumptions!$F$41)^(T5-1)</f>
        <v>87.0789205625922</v>
      </c>
      <c r="U37" s="34" t="n">
        <f aca="false">Assumptions!$F$40*(1+Assumptions!$F$41)^(U5-1)</f>
        <v>87.5143151654051</v>
      </c>
      <c r="V37" s="34" t="n">
        <f aca="false">Assumptions!$F$40*(1+Assumptions!$F$41)^(V5-1)</f>
        <v>87.9518867412321</v>
      </c>
      <c r="W37" s="34" t="n">
        <f aca="false">Assumptions!$F$40*(1+Assumptions!$F$41)^(W5-1)</f>
        <v>88.3916461749383</v>
      </c>
      <c r="X37" s="34" t="n">
        <f aca="false">Assumptions!$F$40*(1+Assumptions!$F$41)^(X5-1)</f>
        <v>88.833604405813</v>
      </c>
      <c r="Y37" s="34" t="n">
        <f aca="false">Assumptions!$F$40*(1+Assumptions!$F$41)^(Y5-1)</f>
        <v>89.277772427842</v>
      </c>
      <c r="Z37" s="34" t="n">
        <f aca="false">Assumptions!$F$40*(1+Assumptions!$F$41)^(Z5-1)</f>
        <v>89.7241612899812</v>
      </c>
      <c r="AA37" s="34" t="n">
        <f aca="false">Assumptions!$F$40*(1+Assumptions!$F$41)^(AA5-1)</f>
        <v>90.1727820964311</v>
      </c>
      <c r="AB37" s="34" t="n">
        <f aca="false">Assumptions!$F$40*(1+Assumptions!$F$41)^(AB5-1)</f>
        <v>90.6236460069133</v>
      </c>
      <c r="AC37" s="34" t="n">
        <f aca="false">Assumptions!$F$40*(1+Assumptions!$F$41)^(AC5-1)</f>
        <v>91.0767642369478</v>
      </c>
      <c r="AD37" s="34" t="n">
        <f aca="false">Assumptions!$F$40*(1+Assumptions!$F$41)^(AD5-1)</f>
        <v>91.5321480581326</v>
      </c>
      <c r="AE37" s="34" t="n">
        <f aca="false">Assumptions!$F$40*(1+Assumptions!$F$41)^(AE5-1)</f>
        <v>91.9898087984232</v>
      </c>
      <c r="AF37" s="34" t="n">
        <f aca="false">Assumptions!$F$40*(1+Assumptions!$F$41)^(AF5-1)</f>
        <v>92.4497578424153</v>
      </c>
      <c r="AG37" s="34" t="n">
        <f aca="false">Assumptions!$F$40*(1+Assumptions!$F$41)^(AG5-1)</f>
        <v>92.9120066316274</v>
      </c>
      <c r="AH37" s="34" t="n">
        <f aca="false">Assumptions!$F$40*(1+Assumptions!$F$41)^(AH5-1)</f>
        <v>93.3765666647855</v>
      </c>
      <c r="AI37" s="34" t="n">
        <f aca="false">Assumptions!$F$40*(1+Assumptions!$F$41)^(AI5-1)</f>
        <v>93.8434494981094</v>
      </c>
      <c r="AJ37" s="34" t="n">
        <f aca="false">Assumptions!$F$40*(1+Assumptions!$F$41)^(AJ5-1)</f>
        <v>94.3126667455999</v>
      </c>
      <c r="AK37" s="34" t="n">
        <f aca="false">Assumptions!$F$40*(1+Assumptions!$F$41)^(AK5-1)</f>
        <v>94.7842300793279</v>
      </c>
      <c r="AL37" s="34" t="n">
        <f aca="false">Assumptions!$F$40*(1+Assumptions!$F$41)^(AL5-1)</f>
        <v>95.2581512297246</v>
      </c>
    </row>
    <row r="38" customFormat="false" ht="15" hidden="false" customHeight="false" outlineLevel="0" collapsed="false">
      <c r="A38" s="37" t="s">
        <v>242</v>
      </c>
      <c r="B38" s="38" t="s">
        <v>84</v>
      </c>
      <c r="C38" s="45" t="n">
        <f aca="false">SUM(C34:C37)</f>
        <v>700</v>
      </c>
      <c r="D38" s="45" t="n">
        <f aca="false">SUM(D34:D37)</f>
        <v>741</v>
      </c>
      <c r="E38" s="45" t="n">
        <f aca="false">SUM(E34:E37)</f>
        <v>785.205</v>
      </c>
      <c r="F38" s="45" t="n">
        <f aca="false">SUM(F34:F37)</f>
        <v>832.871025</v>
      </c>
      <c r="G38" s="45" t="n">
        <f aca="false">SUM(G34:G37)</f>
        <v>884.274580125</v>
      </c>
      <c r="H38" s="45" t="n">
        <f aca="false">SUM(H34:H37)</f>
        <v>939.714289025625</v>
      </c>
      <c r="I38" s="45" t="n">
        <f aca="false">SUM(I34:I37)</f>
        <v>999.512663350753</v>
      </c>
      <c r="J38" s="45" t="n">
        <f aca="false">SUM(J34:J37)</f>
        <v>1064.01801377791</v>
      </c>
      <c r="K38" s="45" t="n">
        <f aca="false">SUM(K34:K37)</f>
        <v>1133.60651392603</v>
      </c>
      <c r="L38" s="45" t="n">
        <f aca="false">SUM(L34:L37)</f>
        <v>1208.68442938123</v>
      </c>
      <c r="M38" s="45" t="n">
        <f aca="false">SUM(M34:M37)</f>
        <v>1289.69052504455</v>
      </c>
      <c r="N38" s="45" t="n">
        <f aca="false">SUM(N34:N37)</f>
        <v>1377.0986650675</v>
      </c>
      <c r="O38" s="45" t="n">
        <f aca="false">SUM(O34:O37)</f>
        <v>3971.42062078239</v>
      </c>
      <c r="P38" s="45" t="n">
        <f aca="false">SUM(P34:P37)</f>
        <v>4073.20910326701</v>
      </c>
      <c r="Q38" s="45" t="n">
        <f aca="false">SUM(Q34:Q37)</f>
        <v>4183.06103851452</v>
      </c>
      <c r="R38" s="45" t="n">
        <f aca="false">SUM(R34:R37)</f>
        <v>4301.62110461675</v>
      </c>
      <c r="S38" s="45" t="n">
        <f aca="false">SUM(S34:S37)</f>
        <v>4429.58555192227</v>
      </c>
      <c r="T38" s="45" t="n">
        <f aca="false">SUM(T34:T37)</f>
        <v>4567.70632880691</v>
      </c>
      <c r="U38" s="45" t="n">
        <f aca="false">SUM(U34:U37)</f>
        <v>4716.79553750598</v>
      </c>
      <c r="V38" s="45" t="n">
        <f aca="false">SUM(V34:V37)</f>
        <v>4877.73024641295</v>
      </c>
      <c r="W38" s="45" t="n">
        <f aca="false">SUM(W34:W37)</f>
        <v>5051.457687362</v>
      </c>
      <c r="X38" s="45" t="n">
        <f aca="false">SUM(X34:X37)</f>
        <v>5239.00086869316</v>
      </c>
      <c r="Y38" s="45" t="n">
        <f aca="false">SUM(Y34:Y37)</f>
        <v>5441.46463736252</v>
      </c>
      <c r="Z38" s="45" t="n">
        <f aca="false">SUM(Z34:Z37)</f>
        <v>5660.0422260213</v>
      </c>
      <c r="AA38" s="45" t="n">
        <f aca="false">SUM(AA34:AA37)</f>
        <v>5896.02232386114</v>
      </c>
      <c r="AB38" s="45" t="n">
        <f aca="false">SUM(AB34:AB37)</f>
        <v>6150.79671312695</v>
      </c>
      <c r="AC38" s="45" t="n">
        <f aca="false">SUM(AC34:AC37)</f>
        <v>6425.86851655081</v>
      </c>
      <c r="AD38" s="45" t="n">
        <f aca="false">SUM(AD34:AD37)</f>
        <v>6722.86110458044</v>
      </c>
      <c r="AE38" s="45" t="n">
        <f aca="false">SUM(AE34:AE37)</f>
        <v>7043.52771518598</v>
      </c>
      <c r="AF38" s="45" t="n">
        <f aca="false">SUM(AF34:AF37)</f>
        <v>7389.76184325115</v>
      </c>
      <c r="AG38" s="45" t="n">
        <f aca="false">SUM(AG34:AG37)</f>
        <v>7763.60846111579</v>
      </c>
      <c r="AH38" s="45" t="n">
        <f aca="false">SUM(AH34:AH37)</f>
        <v>8167.27613676163</v>
      </c>
      <c r="AI38" s="45" t="n">
        <f aca="false">SUM(AI34:AI37)</f>
        <v>8603.15012145291</v>
      </c>
      <c r="AJ38" s="45" t="n">
        <f aca="false">SUM(AJ34:AJ37)</f>
        <v>8735.781666864</v>
      </c>
      <c r="AK38" s="45" t="n">
        <f aca="false">SUM(AK34:AK37)</f>
        <v>8736.96057519832</v>
      </c>
      <c r="AL38" s="45" t="n">
        <f aca="false">SUM(AL34:AL37)</f>
        <v>8738.14537807431</v>
      </c>
    </row>
    <row r="40" customFormat="false" ht="15" hidden="false" customHeight="false" outlineLevel="0" collapsed="false">
      <c r="A40" s="37" t="s">
        <v>243</v>
      </c>
      <c r="B40" s="38" t="s">
        <v>84</v>
      </c>
      <c r="C40" s="45" t="n">
        <f aca="false">C30-C38</f>
        <v>-670.0496</v>
      </c>
      <c r="D40" s="45" t="n">
        <f aca="false">D30-D38</f>
        <v>-602.07909968</v>
      </c>
      <c r="E40" s="45" t="n">
        <f aca="false">E30-E38</f>
        <v>-531.140863732304</v>
      </c>
      <c r="F40" s="45" t="n">
        <f aca="false">F30-F38</f>
        <v>-456.57996884799</v>
      </c>
      <c r="G40" s="45" t="n">
        <f aca="false">G30-G38</f>
        <v>-377.680587822096</v>
      </c>
      <c r="H40" s="45" t="n">
        <f aca="false">H30-H38</f>
        <v>-293.657711905719</v>
      </c>
      <c r="I40" s="45" t="n">
        <f aca="false">I30-I38</f>
        <v>-203.647939144825</v>
      </c>
      <c r="J40" s="45" t="n">
        <f aca="false">J30-J38</f>
        <v>-106.69921351541</v>
      </c>
      <c r="K40" s="45" t="n">
        <f aca="false">K30-K38</f>
        <v>-1.75938604381508</v>
      </c>
      <c r="L40" s="45" t="n">
        <f aca="false">L30-L38</f>
        <v>112.336546164085</v>
      </c>
      <c r="M40" s="45" t="n">
        <f aca="false">M30-M38</f>
        <v>236.880684166957</v>
      </c>
      <c r="N40" s="45" t="n">
        <f aca="false">N30-N38</f>
        <v>373.308135054369</v>
      </c>
      <c r="O40" s="45" t="n">
        <f aca="false">O30-O38</f>
        <v>-1985.12101474096</v>
      </c>
      <c r="P40" s="45" t="n">
        <f aca="false">P30-P38</f>
        <v>-1826.31548912204</v>
      </c>
      <c r="Q40" s="45" t="n">
        <f aca="false">Q30-Q38</f>
        <v>-1650.93631147501</v>
      </c>
      <c r="R40" s="45" t="n">
        <f aca="false">R30-R38</f>
        <v>-1456.84236090724</v>
      </c>
      <c r="S40" s="45" t="n">
        <f aca="false">S30-S38</f>
        <v>-1241.64413718468</v>
      </c>
      <c r="T40" s="45" t="n">
        <f aca="false">T30-T38</f>
        <v>-1002.67345271505</v>
      </c>
      <c r="U40" s="45" t="n">
        <f aca="false">U30-U38</f>
        <v>-736.94951547914</v>
      </c>
      <c r="V40" s="45" t="n">
        <f aca="false">V30-V38</f>
        <v>-441.140968149205</v>
      </c>
      <c r="W40" s="45" t="n">
        <f aca="false">W30-W38</f>
        <v>-111.523396552485</v>
      </c>
      <c r="X40" s="45" t="n">
        <f aca="false">X30-X38</f>
        <v>256.068237698716</v>
      </c>
      <c r="Y40" s="45" t="n">
        <f aca="false">Y30-Y38</f>
        <v>666.292850931189</v>
      </c>
      <c r="Z40" s="45" t="n">
        <f aca="false">Z30-Z38</f>
        <v>1124.36286119835</v>
      </c>
      <c r="AA40" s="45" t="n">
        <f aca="false">AA30-AA38</f>
        <v>1630.27588781612</v>
      </c>
      <c r="AB40" s="45" t="n">
        <f aca="false">AB30-AB38</f>
        <v>2197.78159661465</v>
      </c>
      <c r="AC40" s="45" t="n">
        <f aca="false">AC30-AC38</f>
        <v>2832.33773039217</v>
      </c>
      <c r="AD40" s="45" t="n">
        <f aca="false">AD30-AD38</f>
        <v>3483.22274351205</v>
      </c>
      <c r="AE40" s="45" t="n">
        <f aca="false">AE30-AE38</f>
        <v>4105.16334091951</v>
      </c>
      <c r="AF40" s="45" t="n">
        <f aca="false">AF30-AF38</f>
        <v>4697.7885982408</v>
      </c>
      <c r="AG40" s="45" t="n">
        <f aca="false">AG30-AG38</f>
        <v>5262.32781919453</v>
      </c>
      <c r="AH40" s="45" t="n">
        <f aca="false">AH30-AH38</f>
        <v>5799.88642118326</v>
      </c>
      <c r="AI40" s="45" t="n">
        <f aca="false">AI30-AI38</f>
        <v>6311.44679258244</v>
      </c>
      <c r="AJ40" s="45" t="n">
        <f aca="false">AJ30-AJ38</f>
        <v>7098.35349579309</v>
      </c>
      <c r="AK40" s="45" t="n">
        <f aca="false">AK30-AK38</f>
        <v>7973.84696917563</v>
      </c>
      <c r="AL40" s="45" t="n">
        <f aca="false">AL30-AL38</f>
        <v>8807.41857976829</v>
      </c>
    </row>
    <row r="41" customFormat="false" ht="15" hidden="false" customHeight="false" outlineLevel="0" collapsed="false">
      <c r="A41" s="8" t="s">
        <v>244</v>
      </c>
      <c r="B41" s="14" t="s">
        <v>87</v>
      </c>
      <c r="C41" s="46" t="n">
        <f aca="false">IF(C18=0,0,C40/C18)</f>
        <v>-5.83463601532567</v>
      </c>
      <c r="D41" s="46" t="n">
        <f aca="false">IF(D18=0,0,D40/D18)</f>
        <v>-2.55567268276742</v>
      </c>
      <c r="E41" s="46" t="n">
        <f aca="false">IF(E18=0,0,E40/E18)</f>
        <v>-1.46253203586787</v>
      </c>
      <c r="F41" s="46" t="n">
        <f aca="false">IF(F18=0,0,F40/F18)</f>
        <v>-0.91574389559272</v>
      </c>
      <c r="G41" s="46" t="n">
        <f aca="false">IF(G18=0,0,G40/G18)</f>
        <v>-0.587412308070877</v>
      </c>
      <c r="H41" s="46" t="n">
        <f aca="false">IF(H18=0,0,H40/H18)</f>
        <v>-0.368237509578718</v>
      </c>
      <c r="I41" s="46" t="n">
        <f aca="false">IF(I18=0,0,I40/I18)</f>
        <v>-0.211376221270048</v>
      </c>
      <c r="J41" s="46" t="n">
        <f aca="false">IF(J18=0,0,J40/J18)</f>
        <v>-0.0934067288205122</v>
      </c>
      <c r="K41" s="46" t="n">
        <f aca="false">IF(K18=0,0,K40/K18)</f>
        <v>-0.00131724208433225</v>
      </c>
      <c r="L41" s="46" t="n">
        <f aca="false">IF(L18=0,0,L40/L18)</f>
        <v>0.0726987660014549</v>
      </c>
      <c r="M41" s="46" t="n">
        <f aca="false">IF(M18=0,0,M40/M18)</f>
        <v>0.133608322982255</v>
      </c>
      <c r="N41" s="46" t="n">
        <f aca="false">IF(N18=0,0,N40/N18)</f>
        <v>0.184721849791156</v>
      </c>
      <c r="O41" s="46" t="n">
        <f aca="false">IF(O18=0,0,O40/O18)</f>
        <v>-0.868555188407261</v>
      </c>
      <c r="P41" s="46" t="n">
        <f aca="false">IF(P18=0,0,P40/P18)</f>
        <v>-0.709326601564035</v>
      </c>
      <c r="Q41" s="46" t="n">
        <f aca="false">IF(Q18=0,0,Q40/Q18)</f>
        <v>-0.57101441777083</v>
      </c>
      <c r="R41" s="46" t="n">
        <f aca="false">IF(R18=0,0,R40/R18)</f>
        <v>-0.449894572874585</v>
      </c>
      <c r="S41" s="46" t="n">
        <f aca="false">IF(S18=0,0,S40/S18)</f>
        <v>-0.343090516710449</v>
      </c>
      <c r="T41" s="46" t="n">
        <f aca="false">IF(T18=0,0,T40/T18)</f>
        <v>-0.248342137160225</v>
      </c>
      <c r="U41" s="46" t="n">
        <f aca="false">IF(U18=0,0,U40/U18)</f>
        <v>-0.163846503984281</v>
      </c>
      <c r="V41" s="46" t="n">
        <f aca="false">IF(V18=0,0,V40/V18)</f>
        <v>-0.0881457099125629</v>
      </c>
      <c r="W41" s="46" t="n">
        <f aca="false">IF(W18=0,0,W40/W18)</f>
        <v>-0.0200463491488578</v>
      </c>
      <c r="X41" s="46" t="n">
        <f aca="false">IF(X18=0,0,X40/X18)</f>
        <v>0.0414392932704474</v>
      </c>
      <c r="Y41" s="46" t="n">
        <f aca="false">IF(Y18=0,0,Y40/Y18)</f>
        <v>0.0971368667744139</v>
      </c>
      <c r="Z41" s="46" t="n">
        <f aca="false">IF(Z18=0,0,Z40/Z18)</f>
        <v>0.147742776310069</v>
      </c>
      <c r="AA41" s="46" t="n">
        <f aca="false">IF(AA18=0,0,AA40/AA18)</f>
        <v>0.193253054546179</v>
      </c>
      <c r="AB41" s="46" t="n">
        <f aca="false">IF(AB18=0,0,AB40/AB18)</f>
        <v>0.235084303893031</v>
      </c>
      <c r="AC41" s="46" t="n">
        <f aca="false">IF(AC18=0,0,AC40/AC18)</f>
        <v>0.273422260363603</v>
      </c>
      <c r="AD41" s="46" t="n">
        <f aca="false">IF(AD18=0,0,AD40/AD18)</f>
        <v>0.305305505541251</v>
      </c>
      <c r="AE41" s="46" t="n">
        <f aca="false">IF(AE18=0,0,AE40/AE18)</f>
        <v>0.32969193554167</v>
      </c>
      <c r="AF41" s="46" t="n">
        <f aca="false">IF(AF18=0,0,AF40/AF18)</f>
        <v>0.348240229921896</v>
      </c>
      <c r="AG41" s="46" t="n">
        <f aca="false">IF(AG18=0,0,AG40/AG18)</f>
        <v>0.362211414514642</v>
      </c>
      <c r="AH41" s="46" t="n">
        <f aca="false">IF(AH18=0,0,AH40/AH18)</f>
        <v>0.372504611172548</v>
      </c>
      <c r="AI41" s="46" t="n">
        <f aca="false">IF(AI18=0,0,AI40/AI18)</f>
        <v>0.379778335999041</v>
      </c>
      <c r="AJ41" s="46" t="n">
        <f aca="false">IF(AJ18=0,0,AJ40/AJ18)</f>
        <v>0.402505452181166</v>
      </c>
      <c r="AK41" s="46" t="n">
        <f aca="false">IF(AK18=0,0,AK40/AK18)</f>
        <v>0.428601992493192</v>
      </c>
      <c r="AL41" s="46" t="n">
        <f aca="false">IF(AL18=0,0,AL40/AL18)</f>
        <v>0.451033199284976</v>
      </c>
    </row>
    <row r="42" customFormat="false" ht="15" hidden="false" customHeight="false" outlineLevel="0" collapsed="false">
      <c r="A42" s="5" t="s">
        <v>245</v>
      </c>
      <c r="B42" s="14" t="s">
        <v>84</v>
      </c>
      <c r="C42" s="47" t="n">
        <f aca="false">C40</f>
        <v>-670.0496</v>
      </c>
      <c r="D42" s="47" t="n">
        <f aca="false">C42+D40</f>
        <v>-1272.12869968</v>
      </c>
      <c r="E42" s="47" t="n">
        <f aca="false">D42+E40</f>
        <v>-1803.2695634123</v>
      </c>
      <c r="F42" s="47" t="n">
        <f aca="false">E42+F40</f>
        <v>-2259.84953226029</v>
      </c>
      <c r="G42" s="47" t="n">
        <f aca="false">F42+G40</f>
        <v>-2637.53012008239</v>
      </c>
      <c r="H42" s="47" t="n">
        <f aca="false">G42+H40</f>
        <v>-2931.18783198811</v>
      </c>
      <c r="I42" s="47" t="n">
        <f aca="false">H42+I40</f>
        <v>-3134.83577113293</v>
      </c>
      <c r="J42" s="47" t="n">
        <f aca="false">I42+J40</f>
        <v>-3241.53498464834</v>
      </c>
      <c r="K42" s="47" t="n">
        <f aca="false">J42+K40</f>
        <v>-3243.29437069216</v>
      </c>
      <c r="L42" s="47" t="n">
        <f aca="false">K42+L40</f>
        <v>-3130.95782452807</v>
      </c>
      <c r="M42" s="47" t="n">
        <f aca="false">L42+M40</f>
        <v>-2894.07714036112</v>
      </c>
      <c r="N42" s="47" t="n">
        <f aca="false">M42+N40</f>
        <v>-2520.76900530675</v>
      </c>
      <c r="O42" s="47" t="n">
        <f aca="false">N42+O40</f>
        <v>-4505.89002004771</v>
      </c>
      <c r="P42" s="47" t="n">
        <f aca="false">O42+P40</f>
        <v>-6332.20550916974</v>
      </c>
      <c r="Q42" s="47" t="n">
        <f aca="false">P42+Q40</f>
        <v>-7983.14182064476</v>
      </c>
      <c r="R42" s="47" t="n">
        <f aca="false">Q42+R40</f>
        <v>-9439.984181552</v>
      </c>
      <c r="S42" s="47" t="n">
        <f aca="false">R42+S40</f>
        <v>-10681.6283187367</v>
      </c>
      <c r="T42" s="47" t="n">
        <f aca="false">S42+T40</f>
        <v>-11684.3017714517</v>
      </c>
      <c r="U42" s="47" t="n">
        <f aca="false">T42+U40</f>
        <v>-12421.2512869309</v>
      </c>
      <c r="V42" s="47" t="n">
        <f aca="false">U42+V40</f>
        <v>-12862.3922550801</v>
      </c>
      <c r="W42" s="47" t="n">
        <f aca="false">V42+W40</f>
        <v>-12973.9156516326</v>
      </c>
      <c r="X42" s="47" t="n">
        <f aca="false">W42+X40</f>
        <v>-12717.8474139338</v>
      </c>
      <c r="Y42" s="47" t="n">
        <f aca="false">X42+Y40</f>
        <v>-12051.5545630026</v>
      </c>
      <c r="Z42" s="47" t="n">
        <f aca="false">Y42+Z40</f>
        <v>-10927.1917018043</v>
      </c>
      <c r="AA42" s="47" t="n">
        <f aca="false">Z42+AA40</f>
        <v>-9296.91581398818</v>
      </c>
      <c r="AB42" s="47" t="n">
        <f aca="false">AA42+AB40</f>
        <v>-7099.13421737353</v>
      </c>
      <c r="AC42" s="47" t="n">
        <f aca="false">AB42+AC40</f>
        <v>-4266.79648698136</v>
      </c>
      <c r="AD42" s="47" t="n">
        <f aca="false">AC42+AD40</f>
        <v>-783.573743469307</v>
      </c>
      <c r="AE42" s="47" t="n">
        <f aca="false">AD42+AE40</f>
        <v>3321.5895974502</v>
      </c>
      <c r="AF42" s="47" t="n">
        <f aca="false">AE42+AF40</f>
        <v>8019.378195691</v>
      </c>
      <c r="AG42" s="47" t="n">
        <f aca="false">AF42+AG40</f>
        <v>13281.7060148855</v>
      </c>
      <c r="AH42" s="47" t="n">
        <f aca="false">AG42+AH40</f>
        <v>19081.5924360688</v>
      </c>
      <c r="AI42" s="47" t="n">
        <f aca="false">AH42+AI40</f>
        <v>25393.0392286512</v>
      </c>
      <c r="AJ42" s="47" t="n">
        <f aca="false">AI42+AJ40</f>
        <v>32491.3927244443</v>
      </c>
      <c r="AK42" s="47" t="n">
        <f aca="false">AJ42+AK40</f>
        <v>40465.2396936199</v>
      </c>
      <c r="AL42" s="47" t="n">
        <f aca="false">AK42+AL40</f>
        <v>49272.6582733882</v>
      </c>
    </row>
    <row r="43" customFormat="false" ht="15" hidden="false" customHeight="false" outlineLevel="0" collapsed="false">
      <c r="A43" s="5" t="s">
        <v>246</v>
      </c>
    </row>
    <row r="44" customFormat="false" ht="15" hidden="false" customHeight="false" outlineLevel="0" collapsed="false">
      <c r="A44" s="8" t="s">
        <v>247</v>
      </c>
      <c r="B44" s="14" t="s">
        <v>161</v>
      </c>
      <c r="C44" s="50" t="n">
        <f aca="false">IF(C40&gt;0,C5,9999)</f>
        <v>9999</v>
      </c>
      <c r="D44" s="50" t="n">
        <f aca="false">IF(D40&gt;0,D5,9999)</f>
        <v>9999</v>
      </c>
      <c r="E44" s="50" t="n">
        <f aca="false">IF(E40&gt;0,E5,9999)</f>
        <v>9999</v>
      </c>
      <c r="F44" s="50" t="n">
        <f aca="false">IF(F40&gt;0,F5,9999)</f>
        <v>9999</v>
      </c>
      <c r="G44" s="50" t="n">
        <f aca="false">IF(G40&gt;0,G5,9999)</f>
        <v>9999</v>
      </c>
      <c r="H44" s="50" t="n">
        <f aca="false">IF(H40&gt;0,H5,9999)</f>
        <v>9999</v>
      </c>
      <c r="I44" s="50" t="n">
        <f aca="false">IF(I40&gt;0,I5,9999)</f>
        <v>9999</v>
      </c>
      <c r="J44" s="50" t="n">
        <f aca="false">IF(J40&gt;0,J5,9999)</f>
        <v>9999</v>
      </c>
      <c r="K44" s="50" t="n">
        <f aca="false">IF(K40&gt;0,K5,9999)</f>
        <v>9999</v>
      </c>
      <c r="L44" s="50" t="n">
        <f aca="false">IF(L40&gt;0,L5,9999)</f>
        <v>10</v>
      </c>
      <c r="M44" s="50" t="n">
        <f aca="false">IF(M40&gt;0,M5,9999)</f>
        <v>11</v>
      </c>
      <c r="N44" s="50" t="n">
        <f aca="false">IF(N40&gt;0,N5,9999)</f>
        <v>12</v>
      </c>
      <c r="O44" s="50" t="n">
        <f aca="false">IF(O40&gt;0,O5,9999)</f>
        <v>9999</v>
      </c>
      <c r="P44" s="50" t="n">
        <f aca="false">IF(P40&gt;0,P5,9999)</f>
        <v>9999</v>
      </c>
      <c r="Q44" s="50" t="n">
        <f aca="false">IF(Q40&gt;0,Q5,9999)</f>
        <v>9999</v>
      </c>
      <c r="R44" s="50" t="n">
        <f aca="false">IF(R40&gt;0,R5,9999)</f>
        <v>9999</v>
      </c>
      <c r="S44" s="50" t="n">
        <f aca="false">IF(S40&gt;0,S5,9999)</f>
        <v>9999</v>
      </c>
      <c r="T44" s="50" t="n">
        <f aca="false">IF(T40&gt;0,T5,9999)</f>
        <v>9999</v>
      </c>
      <c r="U44" s="50" t="n">
        <f aca="false">IF(U40&gt;0,U5,9999)</f>
        <v>9999</v>
      </c>
      <c r="V44" s="50" t="n">
        <f aca="false">IF(V40&gt;0,V5,9999)</f>
        <v>9999</v>
      </c>
      <c r="W44" s="50" t="n">
        <f aca="false">IF(W40&gt;0,W5,9999)</f>
        <v>9999</v>
      </c>
      <c r="X44" s="50" t="n">
        <f aca="false">IF(X40&gt;0,X5,9999)</f>
        <v>22</v>
      </c>
      <c r="Y44" s="50" t="n">
        <f aca="false">IF(Y40&gt;0,Y5,9999)</f>
        <v>23</v>
      </c>
      <c r="Z44" s="50" t="n">
        <f aca="false">IF(Z40&gt;0,Z5,9999)</f>
        <v>24</v>
      </c>
      <c r="AA44" s="50" t="n">
        <f aca="false">IF(AA40&gt;0,AA5,9999)</f>
        <v>25</v>
      </c>
      <c r="AB44" s="50" t="n">
        <f aca="false">IF(AB40&gt;0,AB5,9999)</f>
        <v>26</v>
      </c>
      <c r="AC44" s="50" t="n">
        <f aca="false">IF(AC40&gt;0,AC5,9999)</f>
        <v>27</v>
      </c>
      <c r="AD44" s="50" t="n">
        <f aca="false">IF(AD40&gt;0,AD5,9999)</f>
        <v>28</v>
      </c>
      <c r="AE44" s="50" t="n">
        <f aca="false">IF(AE40&gt;0,AE5,9999)</f>
        <v>29</v>
      </c>
      <c r="AF44" s="50" t="n">
        <f aca="false">IF(AF40&gt;0,AF5,9999)</f>
        <v>30</v>
      </c>
      <c r="AG44" s="50" t="n">
        <f aca="false">IF(AG40&gt;0,AG5,9999)</f>
        <v>31</v>
      </c>
      <c r="AH44" s="50" t="n">
        <f aca="false">IF(AH40&gt;0,AH5,9999)</f>
        <v>32</v>
      </c>
      <c r="AI44" s="50" t="n">
        <f aca="false">IF(AI40&gt;0,AI5,9999)</f>
        <v>33</v>
      </c>
      <c r="AJ44" s="50" t="n">
        <f aca="false">IF(AJ40&gt;0,AJ5,9999)</f>
        <v>34</v>
      </c>
      <c r="AK44" s="50" t="n">
        <f aca="false">IF(AK40&gt;0,AK5,9999)</f>
        <v>35</v>
      </c>
      <c r="AL44" s="50" t="n">
        <f aca="false">IF(AL40&gt;0,AL5,9999)</f>
        <v>36</v>
      </c>
    </row>
    <row r="45" customFormat="false" ht="15" hidden="false" customHeight="false" outlineLevel="0" collapsed="false">
      <c r="A45" s="41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5"/>
    <col collapsed="false" customWidth="true" hidden="false" outlineLevel="0" max="38" min="3" style="0" width="11"/>
  </cols>
  <sheetData>
    <row r="2" customFormat="false" ht="17.35" hidden="false" customHeight="false" outlineLevel="0" collapsed="false">
      <c r="A2" s="1" t="s">
        <v>249</v>
      </c>
    </row>
    <row r="3" customFormat="false" ht="15" hidden="false" customHeight="false" outlineLevel="0" collapsed="false">
      <c r="A3" s="2" t="s">
        <v>250</v>
      </c>
    </row>
    <row r="5" customFormat="false" ht="15" hidden="false" customHeight="false" outlineLevel="0" collapsed="false">
      <c r="A5" s="5" t="s">
        <v>160</v>
      </c>
      <c r="B5" s="14" t="s">
        <v>161</v>
      </c>
      <c r="C5" s="33" t="n">
        <v>1</v>
      </c>
      <c r="D5" s="33" t="n">
        <v>2</v>
      </c>
      <c r="E5" s="33" t="n">
        <v>3</v>
      </c>
      <c r="F5" s="33" t="n">
        <v>4</v>
      </c>
      <c r="G5" s="33" t="n">
        <v>5</v>
      </c>
      <c r="H5" s="33" t="n">
        <v>6</v>
      </c>
      <c r="I5" s="33" t="n">
        <v>7</v>
      </c>
      <c r="J5" s="33" t="n">
        <v>8</v>
      </c>
      <c r="K5" s="33" t="n">
        <v>9</v>
      </c>
      <c r="L5" s="33" t="n">
        <v>10</v>
      </c>
      <c r="M5" s="33" t="n">
        <v>11</v>
      </c>
      <c r="N5" s="33" t="n">
        <v>12</v>
      </c>
      <c r="O5" s="33" t="n">
        <v>13</v>
      </c>
      <c r="P5" s="33" t="n">
        <v>14</v>
      </c>
      <c r="Q5" s="33" t="n">
        <v>15</v>
      </c>
      <c r="R5" s="33" t="n">
        <v>16</v>
      </c>
      <c r="S5" s="33" t="n">
        <v>17</v>
      </c>
      <c r="T5" s="33" t="n">
        <v>18</v>
      </c>
      <c r="U5" s="33" t="n">
        <v>19</v>
      </c>
      <c r="V5" s="33" t="n">
        <v>20</v>
      </c>
      <c r="W5" s="33" t="n">
        <v>21</v>
      </c>
      <c r="X5" s="33" t="n">
        <v>22</v>
      </c>
      <c r="Y5" s="33" t="n">
        <v>23</v>
      </c>
      <c r="Z5" s="33" t="n">
        <v>24</v>
      </c>
      <c r="AA5" s="33" t="n">
        <v>25</v>
      </c>
      <c r="AB5" s="33" t="n">
        <v>26</v>
      </c>
      <c r="AC5" s="33" t="n">
        <v>27</v>
      </c>
      <c r="AD5" s="33" t="n">
        <v>28</v>
      </c>
      <c r="AE5" s="33" t="n">
        <v>29</v>
      </c>
      <c r="AF5" s="33" t="n">
        <v>30</v>
      </c>
      <c r="AG5" s="33" t="n">
        <v>31</v>
      </c>
      <c r="AH5" s="33" t="n">
        <v>32</v>
      </c>
      <c r="AI5" s="33" t="n">
        <v>33</v>
      </c>
      <c r="AJ5" s="33" t="n">
        <v>34</v>
      </c>
      <c r="AK5" s="33" t="n">
        <v>35</v>
      </c>
      <c r="AL5" s="33" t="n">
        <v>36</v>
      </c>
    </row>
    <row r="7" customFormat="false" ht="15" hidden="false" customHeight="false" outlineLevel="0" collapsed="false">
      <c r="A7" s="3" t="s">
        <v>251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customFormat="false" ht="15" hidden="false" customHeight="false" outlineLevel="0" collapsed="false">
      <c r="A8" s="8" t="s">
        <v>252</v>
      </c>
      <c r="B8" s="14" t="s">
        <v>84</v>
      </c>
      <c r="C8" s="34" t="n">
        <f aca="false">Assumptions!$F$43</f>
        <v>5000</v>
      </c>
      <c r="D8" s="34" t="n">
        <f aca="false">C13</f>
        <v>4547.7504</v>
      </c>
      <c r="E8" s="34" t="n">
        <f aca="false">D13</f>
        <v>4165.68604032</v>
      </c>
      <c r="F8" s="34" t="n">
        <f aca="false">E13</f>
        <v>3856.9797857097</v>
      </c>
      <c r="G8" s="34" t="n">
        <f aca="false">F13</f>
        <v>3625.49392271019</v>
      </c>
      <c r="H8" s="34" t="n">
        <f aca="false">G13</f>
        <v>3475.8452319612</v>
      </c>
      <c r="I8" s="34" t="n">
        <f aca="false">H13</f>
        <v>3413.4788844444</v>
      </c>
      <c r="J8" s="34" t="n">
        <f aca="false">I13</f>
        <v>3444.752162404</v>
      </c>
      <c r="K8" s="34" t="n">
        <f aca="false">J13</f>
        <v>3577.02912912139</v>
      </c>
      <c r="L8" s="34" t="n">
        <f aca="false">K13</f>
        <v>3818.78750977735</v>
      </c>
      <c r="M8" s="34" t="n">
        <f aca="false">L13</f>
        <v>4179.73920007915</v>
      </c>
      <c r="N8" s="34" t="n">
        <f aca="false">M13</f>
        <v>4670.96599213654</v>
      </c>
      <c r="O8" s="34" t="n">
        <f aca="false">N13</f>
        <v>5305.07230045447</v>
      </c>
      <c r="P8" s="34" t="n">
        <f aca="false">O13</f>
        <v>3760.28108734978</v>
      </c>
      <c r="Q8" s="34" t="n">
        <f aca="false">P13</f>
        <v>2405.80590864961</v>
      </c>
      <c r="R8" s="34" t="n">
        <f aca="false">Q13</f>
        <v>1261.62035208505</v>
      </c>
      <c r="S8" s="34" t="n">
        <f aca="false">R13</f>
        <v>350.225451985289</v>
      </c>
      <c r="T8" s="34" t="n">
        <f aca="false">S13</f>
        <v>-303.057779281169</v>
      </c>
      <c r="U8" s="34" t="n">
        <f aca="false">T13</f>
        <v>-669.76036297292</v>
      </c>
      <c r="V8" s="34" t="n">
        <f aca="false">U13</f>
        <v>-717.89769534249</v>
      </c>
      <c r="W8" s="34" t="n">
        <f aca="false">V13</f>
        <v>-411.557499004069</v>
      </c>
      <c r="X8" s="34" t="n">
        <f aca="false">W13</f>
        <v>289.561902270119</v>
      </c>
      <c r="Y8" s="34" t="n">
        <f aca="false">X13</f>
        <v>1430.66890661905</v>
      </c>
      <c r="Z8" s="34" t="n">
        <f aca="false">Y13</f>
        <v>3062.45818703352</v>
      </c>
      <c r="AA8" s="34" t="n">
        <f aca="false">Z13</f>
        <v>5241.75990199136</v>
      </c>
      <c r="AB8" s="34" t="n">
        <f aca="false">AA13</f>
        <v>8147.01382274284</v>
      </c>
      <c r="AC8" s="34" t="n">
        <f aca="false">AB13</f>
        <v>11746.6767125882</v>
      </c>
      <c r="AD8" s="34" t="n">
        <f aca="false">AC13</f>
        <v>16121.8828885838</v>
      </c>
      <c r="AE8" s="34" t="n">
        <f aca="false">AD13</f>
        <v>21176.4005522503</v>
      </c>
      <c r="AF8" s="34" t="n">
        <f aca="false">AE13</f>
        <v>26790.5366077651</v>
      </c>
      <c r="AG8" s="34" t="n">
        <f aca="false">AF13</f>
        <v>32946.4826094802</v>
      </c>
      <c r="AH8" s="34" t="n">
        <f aca="false">AG13</f>
        <v>39629.0319110576</v>
      </c>
      <c r="AI8" s="34" t="n">
        <f aca="false">AH13</f>
        <v>46825.606538572</v>
      </c>
      <c r="AJ8" s="34" t="n">
        <f aca="false">AI13</f>
        <v>54526.3025889352</v>
      </c>
      <c r="AK8" s="34" t="n">
        <f aca="false">AJ13</f>
        <v>62942.6385401112</v>
      </c>
      <c r="AL8" s="34" t="n">
        <f aca="false">AK13</f>
        <v>72149.5297286347</v>
      </c>
    </row>
    <row r="9" customFormat="false" ht="15" hidden="false" customHeight="false" outlineLevel="0" collapsed="false">
      <c r="A9" s="8" t="s">
        <v>253</v>
      </c>
      <c r="B9" s="14" t="s">
        <v>84</v>
      </c>
      <c r="C9" s="49" t="n">
        <f aca="false">'P&amp;L'!C12</f>
        <v>332.64</v>
      </c>
      <c r="D9" s="49" t="n">
        <f aca="false">'P&amp;L'!D12</f>
        <v>455.600112</v>
      </c>
      <c r="E9" s="49" t="n">
        <f aca="false">'P&amp;L'!E12</f>
        <v>585.5998941936</v>
      </c>
      <c r="F9" s="49" t="n">
        <f aca="false">'P&amp;L'!F12</f>
        <v>723.683254021258</v>
      </c>
      <c r="G9" s="49" t="n">
        <f aca="false">'P&amp;L'!G12</f>
        <v>870.988441620898</v>
      </c>
      <c r="H9" s="49" t="n">
        <f aca="false">'P&amp;L'!H12</f>
        <v>1028.75958603119</v>
      </c>
      <c r="I9" s="49" t="n">
        <f aca="false">'P&amp;L'!I12</f>
        <v>1198.35947861376</v>
      </c>
      <c r="J9" s="49" t="n">
        <f aca="false">'P&amp;L'!J12</f>
        <v>1381.28375124773</v>
      </c>
      <c r="K9" s="49" t="n">
        <f aca="false">'P&amp;L'!K12</f>
        <v>1579.17661387893</v>
      </c>
      <c r="L9" s="49" t="n">
        <f aca="false">'P&amp;L'!L12</f>
        <v>1793.84833505373</v>
      </c>
      <c r="M9" s="49" t="n">
        <f aca="false">'P&amp;L'!M12</f>
        <v>2027.29467037196</v>
      </c>
      <c r="N9" s="49" t="n">
        <f aca="false">'P&amp;L'!N12</f>
        <v>2281.71846762196</v>
      </c>
      <c r="O9" s="49" t="n">
        <f aca="false">'P&amp;L'!O12</f>
        <v>2725.87370401193</v>
      </c>
      <c r="P9" s="49" t="n">
        <f aca="false">'P&amp;L'!P12</f>
        <v>3046.55763400043</v>
      </c>
      <c r="Q9" s="49" t="n">
        <f aca="false">'P&amp;L'!Q12</f>
        <v>3397.98477649622</v>
      </c>
      <c r="R9" s="49" t="n">
        <f aca="false">'P&amp;L'!R12</f>
        <v>3783.63357983265</v>
      </c>
      <c r="S9" s="49" t="n">
        <f aca="false">'P&amp;L'!S12</f>
        <v>4207.35961532458</v>
      </c>
      <c r="T9" s="49" t="n">
        <f aca="false">'P&amp;L'!T12</f>
        <v>4673.43895309694</v>
      </c>
      <c r="U9" s="49" t="n">
        <f aca="false">'P&amp;L'!U12</f>
        <v>5186.61651557089</v>
      </c>
      <c r="V9" s="49" t="n">
        <f aca="false">'P&amp;L'!V12</f>
        <v>5752.15999215603</v>
      </c>
      <c r="W9" s="49" t="n">
        <f aca="false">'P&amp;L'!W12</f>
        <v>6375.91996736751</v>
      </c>
      <c r="X9" s="49" t="n">
        <f aca="false">'P&amp;L'!X12</f>
        <v>7064.39699140381</v>
      </c>
      <c r="Y9" s="49" t="n">
        <f aca="false">'P&amp;L'!Y12</f>
        <v>7824.81640815375</v>
      </c>
      <c r="Z9" s="49" t="n">
        <f aca="false">'P&amp;L'!Z12</f>
        <v>8665.21185173428</v>
      </c>
      <c r="AA9" s="49" t="n">
        <f aca="false">'P&amp;L'!AA12</f>
        <v>9710.9424302099</v>
      </c>
      <c r="AB9" s="49" t="n">
        <f aca="false">'P&amp;L'!AB12</f>
        <v>10750.7895794032</v>
      </c>
      <c r="AC9" s="49" t="n">
        <f aca="false">'P&amp;L'!AC12</f>
        <v>11901.709480074</v>
      </c>
      <c r="AD9" s="49" t="n">
        <f aca="false">'P&amp;L'!AD12</f>
        <v>12980.2694728306</v>
      </c>
      <c r="AE9" s="49" t="n">
        <f aca="false">'P&amp;L'!AE12</f>
        <v>13960.4854705105</v>
      </c>
      <c r="AF9" s="49" t="n">
        <f aca="false">'P&amp;L'!AF12</f>
        <v>14948.2375108026</v>
      </c>
      <c r="AG9" s="49" t="n">
        <f aca="false">'P&amp;L'!AG12</f>
        <v>15948.5538549172</v>
      </c>
      <c r="AH9" s="49" t="n">
        <f aca="false">'P&amp;L'!AH12</f>
        <v>16966.6603549355</v>
      </c>
      <c r="AI9" s="49" t="n">
        <f aca="false">'P&amp;L'!AI12</f>
        <v>18008.0139273863</v>
      </c>
      <c r="AJ9" s="49" t="n">
        <f aca="false">'P&amp;L'!AJ12</f>
        <v>18953.4044287432</v>
      </c>
      <c r="AK9" s="49" t="n">
        <f aca="false">'P&amp;L'!AK12</f>
        <v>19837.3603654103</v>
      </c>
      <c r="AL9" s="49" t="n">
        <f aca="false">'P&amp;L'!AL12</f>
        <v>20698.6719087296</v>
      </c>
    </row>
    <row r="10" customFormat="false" ht="15" hidden="false" customHeight="false" outlineLevel="0" collapsed="false">
      <c r="A10" s="8" t="s">
        <v>254</v>
      </c>
      <c r="B10" s="14" t="s">
        <v>84</v>
      </c>
      <c r="C10" s="49" t="n">
        <f aca="false">-'P&amp;L'!C28</f>
        <v>-84.8896</v>
      </c>
      <c r="D10" s="49" t="n">
        <f aca="false">-'P&amp;L'!D28</f>
        <v>-96.66447168</v>
      </c>
      <c r="E10" s="49" t="n">
        <f aca="false">-'P&amp;L'!E28</f>
        <v>-109.101148803904</v>
      </c>
      <c r="F10" s="49" t="n">
        <f aca="false">-'P&amp;L'!F28</f>
        <v>-122.298092020761</v>
      </c>
      <c r="G10" s="49" t="n">
        <f aca="false">-'P&amp;L'!G28</f>
        <v>-136.362552244891</v>
      </c>
      <c r="H10" s="49" t="n">
        <f aca="false">-'P&amp;L'!H28</f>
        <v>-151.411644522365</v>
      </c>
      <c r="I10" s="49" t="n">
        <f aca="false">-'P&amp;L'!I28</f>
        <v>-167.573537303394</v>
      </c>
      <c r="J10" s="49" t="n">
        <f aca="false">-'P&amp;L'!J28</f>
        <v>-184.988770752433</v>
      </c>
      <c r="K10" s="49" t="n">
        <f aca="false">-'P&amp;L'!K28</f>
        <v>-203.811719296949</v>
      </c>
      <c r="L10" s="49" t="n">
        <f aca="false">-'P&amp;L'!L28</f>
        <v>-224.212215370699</v>
      </c>
      <c r="M10" s="49" t="n">
        <f aca="false">-'P&amp;L'!M28</f>
        <v>-246.377353270019</v>
      </c>
      <c r="N10" s="49" t="n">
        <f aca="false">-'P&amp;L'!N28</f>
        <v>-270.513494236518</v>
      </c>
      <c r="O10" s="49" t="n">
        <f aca="false">-'P&amp;L'!O28</f>
        <v>-299.244296334231</v>
      </c>
      <c r="P10" s="49" t="n">
        <f aca="false">-'P&amp;L'!P28</f>
        <v>-327.823709433593</v>
      </c>
      <c r="Q10" s="49" t="n">
        <f aca="false">-'P&amp;L'!Q28</f>
        <v>-359.109294546264</v>
      </c>
      <c r="R10" s="49" t="n">
        <f aca="false">-'P&amp;L'!R28</f>
        <v>-393.407375315661</v>
      </c>
      <c r="S10" s="49" t="n">
        <f aca="false">-'P&amp;L'!S28</f>
        <v>-431.057294668763</v>
      </c>
      <c r="T10" s="49" t="n">
        <f aca="false">-'P&amp;L'!T28</f>
        <v>-472.435207981773</v>
      </c>
      <c r="U10" s="49" t="n">
        <f aca="false">-'P&amp;L'!U28</f>
        <v>-517.958310434482</v>
      </c>
      <c r="V10" s="49" t="n">
        <f aca="false">-'P&amp;L'!V28</f>
        <v>-568.089549404667</v>
      </c>
      <c r="W10" s="49" t="n">
        <f aca="false">-'P&amp;L'!W28</f>
        <v>-623.342878731318</v>
      </c>
      <c r="X10" s="49" t="n">
        <f aca="false">-'P&amp;L'!X28</f>
        <v>-684.28911836173</v>
      </c>
      <c r="Y10" s="49" t="n">
        <f aca="false">-'P&amp;L'!Y28</f>
        <v>-751.562490376758</v>
      </c>
      <c r="Z10" s="49" t="n">
        <f aca="false">-'P&amp;L'!Z28</f>
        <v>-825.867910755131</v>
      </c>
      <c r="AA10" s="49" t="n">
        <f aca="false">-'P&amp;L'!AA28</f>
        <v>-909.666185597279</v>
      </c>
      <c r="AB10" s="49" t="n">
        <f aca="false">-'P&amp;L'!AB28</f>
        <v>-1000.3299764309</v>
      </c>
      <c r="AC10" s="49" t="n">
        <f aca="false">-'P&amp;L'!AC28</f>
        <v>-1100.63478752753</v>
      </c>
      <c r="AD10" s="49" t="n">
        <f aca="false">-'P&amp;L'!AD28</f>
        <v>-1202.89070458362</v>
      </c>
      <c r="AE10" s="49" t="n">
        <f aca="false">-'P&amp;L'!AE28</f>
        <v>-1302.82169980983</v>
      </c>
      <c r="AF10" s="49" t="n">
        <f aca="false">-'P&amp;L'!AF28</f>
        <v>-1402.52966583635</v>
      </c>
      <c r="AG10" s="49" t="n">
        <f aca="false">-'P&amp;L'!AG28</f>
        <v>-1502.39609222401</v>
      </c>
      <c r="AH10" s="49" t="n">
        <f aca="false">-'P&amp;L'!AH28</f>
        <v>-1602.80959065944</v>
      </c>
      <c r="AI10" s="49" t="n">
        <f aca="false">-'P&amp;L'!AI28</f>
        <v>-1704.16775557017</v>
      </c>
      <c r="AJ10" s="49" t="n">
        <f aca="false">-'P&amp;L'!AJ28</f>
        <v>-1801.28681070327</v>
      </c>
      <c r="AK10" s="49" t="n">
        <f aca="false">-'P&amp;L'!AK28</f>
        <v>-1893.50860168849</v>
      </c>
      <c r="AL10" s="49" t="n">
        <f aca="false">-'P&amp;L'!AL28</f>
        <v>-1981.6428946257</v>
      </c>
    </row>
    <row r="11" customFormat="false" ht="15" hidden="false" customHeight="false" outlineLevel="0" collapsed="false">
      <c r="A11" s="8" t="s">
        <v>255</v>
      </c>
      <c r="B11" s="14" t="s">
        <v>84</v>
      </c>
      <c r="C11" s="49" t="n">
        <f aca="false">-'P&amp;L'!C38</f>
        <v>-700</v>
      </c>
      <c r="D11" s="49" t="n">
        <f aca="false">-'P&amp;L'!D38</f>
        <v>-741</v>
      </c>
      <c r="E11" s="49" t="n">
        <f aca="false">-'P&amp;L'!E38</f>
        <v>-785.205</v>
      </c>
      <c r="F11" s="49" t="n">
        <f aca="false">-'P&amp;L'!F38</f>
        <v>-832.871025</v>
      </c>
      <c r="G11" s="49" t="n">
        <f aca="false">-'P&amp;L'!G38</f>
        <v>-884.274580125</v>
      </c>
      <c r="H11" s="49" t="n">
        <f aca="false">-'P&amp;L'!H38</f>
        <v>-939.714289025625</v>
      </c>
      <c r="I11" s="49" t="n">
        <f aca="false">-'P&amp;L'!I38</f>
        <v>-999.512663350753</v>
      </c>
      <c r="J11" s="49" t="n">
        <f aca="false">-'P&amp;L'!J38</f>
        <v>-1064.01801377791</v>
      </c>
      <c r="K11" s="49" t="n">
        <f aca="false">-'P&amp;L'!K38</f>
        <v>-1133.60651392603</v>
      </c>
      <c r="L11" s="49" t="n">
        <f aca="false">-'P&amp;L'!L38</f>
        <v>-1208.68442938123</v>
      </c>
      <c r="M11" s="49" t="n">
        <f aca="false">-'P&amp;L'!M38</f>
        <v>-1289.69052504455</v>
      </c>
      <c r="N11" s="49" t="n">
        <f aca="false">-'P&amp;L'!N38</f>
        <v>-1377.0986650675</v>
      </c>
      <c r="O11" s="49" t="n">
        <f aca="false">-'P&amp;L'!O38</f>
        <v>-3971.42062078239</v>
      </c>
      <c r="P11" s="49" t="n">
        <f aca="false">-'P&amp;L'!P38</f>
        <v>-4073.20910326701</v>
      </c>
      <c r="Q11" s="49" t="n">
        <f aca="false">-'P&amp;L'!Q38</f>
        <v>-4183.06103851452</v>
      </c>
      <c r="R11" s="49" t="n">
        <f aca="false">-'P&amp;L'!R38</f>
        <v>-4301.62110461675</v>
      </c>
      <c r="S11" s="49" t="n">
        <f aca="false">-'P&amp;L'!S38</f>
        <v>-4429.58555192227</v>
      </c>
      <c r="T11" s="49" t="n">
        <f aca="false">-'P&amp;L'!T38</f>
        <v>-4567.70632880691</v>
      </c>
      <c r="U11" s="49" t="n">
        <f aca="false">-'P&amp;L'!U38</f>
        <v>-4716.79553750598</v>
      </c>
      <c r="V11" s="49" t="n">
        <f aca="false">-'P&amp;L'!V38</f>
        <v>-4877.73024641295</v>
      </c>
      <c r="W11" s="49" t="n">
        <f aca="false">-'P&amp;L'!W38</f>
        <v>-5051.457687362</v>
      </c>
      <c r="X11" s="49" t="n">
        <f aca="false">-'P&amp;L'!X38</f>
        <v>-5239.00086869316</v>
      </c>
      <c r="Y11" s="49" t="n">
        <f aca="false">-'P&amp;L'!Y38</f>
        <v>-5441.46463736252</v>
      </c>
      <c r="Z11" s="49" t="n">
        <f aca="false">-'P&amp;L'!Z38</f>
        <v>-5660.0422260213</v>
      </c>
      <c r="AA11" s="49" t="n">
        <f aca="false">-'P&amp;L'!AA38</f>
        <v>-5896.02232386114</v>
      </c>
      <c r="AB11" s="49" t="n">
        <f aca="false">-'P&amp;L'!AB38</f>
        <v>-6150.79671312695</v>
      </c>
      <c r="AC11" s="49" t="n">
        <f aca="false">-'P&amp;L'!AC38</f>
        <v>-6425.86851655081</v>
      </c>
      <c r="AD11" s="49" t="n">
        <f aca="false">-'P&amp;L'!AD38</f>
        <v>-6722.86110458044</v>
      </c>
      <c r="AE11" s="49" t="n">
        <f aca="false">-'P&amp;L'!AE38</f>
        <v>-7043.52771518598</v>
      </c>
      <c r="AF11" s="49" t="n">
        <f aca="false">-'P&amp;L'!AF38</f>
        <v>-7389.76184325115</v>
      </c>
      <c r="AG11" s="49" t="n">
        <f aca="false">-'P&amp;L'!AG38</f>
        <v>-7763.60846111579</v>
      </c>
      <c r="AH11" s="49" t="n">
        <f aca="false">-'P&amp;L'!AH38</f>
        <v>-8167.27613676163</v>
      </c>
      <c r="AI11" s="49" t="n">
        <f aca="false">-'P&amp;L'!AI38</f>
        <v>-8603.15012145291</v>
      </c>
      <c r="AJ11" s="49" t="n">
        <f aca="false">-'P&amp;L'!AJ38</f>
        <v>-8735.781666864</v>
      </c>
      <c r="AK11" s="49" t="n">
        <f aca="false">-'P&amp;L'!AK38</f>
        <v>-8736.96057519832</v>
      </c>
      <c r="AL11" s="49" t="n">
        <f aca="false">-'P&amp;L'!AL38</f>
        <v>-8738.14537807431</v>
      </c>
    </row>
    <row r="12" customFormat="false" ht="15" hidden="false" customHeight="false" outlineLevel="0" collapsed="false">
      <c r="A12" s="37" t="s">
        <v>256</v>
      </c>
      <c r="B12" s="38" t="s">
        <v>84</v>
      </c>
      <c r="C12" s="45" t="n">
        <f aca="false">SUM(C9:C11)</f>
        <v>-452.2496</v>
      </c>
      <c r="D12" s="45" t="n">
        <f aca="false">SUM(D9:D11)</f>
        <v>-382.06435968</v>
      </c>
      <c r="E12" s="45" t="n">
        <f aca="false">SUM(E9:E11)</f>
        <v>-308.706254610304</v>
      </c>
      <c r="F12" s="45" t="n">
        <f aca="false">SUM(F9:F11)</f>
        <v>-231.485862999503</v>
      </c>
      <c r="G12" s="45" t="n">
        <f aca="false">SUM(G9:G11)</f>
        <v>-149.648690748993</v>
      </c>
      <c r="H12" s="45" t="n">
        <f aca="false">SUM(H9:H11)</f>
        <v>-62.3663475168045</v>
      </c>
      <c r="I12" s="45" t="n">
        <f aca="false">SUM(I9:I11)</f>
        <v>31.2732779596083</v>
      </c>
      <c r="J12" s="45" t="n">
        <f aca="false">SUM(J9:J11)</f>
        <v>132.27696671739</v>
      </c>
      <c r="K12" s="45" t="n">
        <f aca="false">SUM(K9:K11)</f>
        <v>241.758380655955</v>
      </c>
      <c r="L12" s="45" t="n">
        <f aca="false">SUM(L9:L11)</f>
        <v>360.951690301801</v>
      </c>
      <c r="M12" s="45" t="n">
        <f aca="false">SUM(M9:M11)</f>
        <v>491.22679205739</v>
      </c>
      <c r="N12" s="45" t="n">
        <f aca="false">SUM(N9:N11)</f>
        <v>634.106308317935</v>
      </c>
      <c r="O12" s="45" t="n">
        <f aca="false">SUM(O9:O11)</f>
        <v>-1544.7912131047</v>
      </c>
      <c r="P12" s="45" t="n">
        <f aca="false">SUM(P9:P11)</f>
        <v>-1354.47517870017</v>
      </c>
      <c r="Q12" s="45" t="n">
        <f aca="false">SUM(Q9:Q11)</f>
        <v>-1144.18555656456</v>
      </c>
      <c r="R12" s="45" t="n">
        <f aca="false">SUM(R9:R11)</f>
        <v>-911.394900099759</v>
      </c>
      <c r="S12" s="45" t="n">
        <f aca="false">SUM(S9:S11)</f>
        <v>-653.283231266458</v>
      </c>
      <c r="T12" s="45" t="n">
        <f aca="false">SUM(T9:T11)</f>
        <v>-366.702583691751</v>
      </c>
      <c r="U12" s="45" t="n">
        <f aca="false">SUM(U9:U11)</f>
        <v>-48.1373323695698</v>
      </c>
      <c r="V12" s="45" t="n">
        <f aca="false">SUM(V9:V11)</f>
        <v>306.340196338421</v>
      </c>
      <c r="W12" s="45" t="n">
        <f aca="false">SUM(W9:W11)</f>
        <v>701.119401274188</v>
      </c>
      <c r="X12" s="45" t="n">
        <f aca="false">SUM(X9:X11)</f>
        <v>1141.10700434893</v>
      </c>
      <c r="Y12" s="45" t="n">
        <f aca="false">SUM(Y9:Y11)</f>
        <v>1631.78928041447</v>
      </c>
      <c r="Z12" s="45" t="n">
        <f aca="false">SUM(Z9:Z11)</f>
        <v>2179.30171495785</v>
      </c>
      <c r="AA12" s="45" t="n">
        <f aca="false">SUM(AA9:AA11)</f>
        <v>2905.25392075148</v>
      </c>
      <c r="AB12" s="45" t="n">
        <f aca="false">SUM(AB9:AB11)</f>
        <v>3599.66288984531</v>
      </c>
      <c r="AC12" s="45" t="n">
        <f aca="false">SUM(AC9:AC11)</f>
        <v>4375.20617599564</v>
      </c>
      <c r="AD12" s="45" t="n">
        <f aca="false">SUM(AD9:AD11)</f>
        <v>5054.51766366656</v>
      </c>
      <c r="AE12" s="45" t="n">
        <f aca="false">SUM(AE9:AE11)</f>
        <v>5614.13605551471</v>
      </c>
      <c r="AF12" s="45" t="n">
        <f aca="false">SUM(AF9:AF11)</f>
        <v>6155.94600171513</v>
      </c>
      <c r="AG12" s="45" t="n">
        <f aca="false">SUM(AG9:AG11)</f>
        <v>6682.54930157737</v>
      </c>
      <c r="AH12" s="45" t="n">
        <f aca="false">SUM(AH9:AH11)</f>
        <v>7196.57462751446</v>
      </c>
      <c r="AI12" s="45" t="n">
        <f aca="false">SUM(AI9:AI11)</f>
        <v>7700.69605036322</v>
      </c>
      <c r="AJ12" s="45" t="n">
        <f aca="false">SUM(AJ9:AJ11)</f>
        <v>8416.33595117594</v>
      </c>
      <c r="AK12" s="45" t="n">
        <f aca="false">SUM(AK9:AK11)</f>
        <v>9206.89118852348</v>
      </c>
      <c r="AL12" s="45" t="n">
        <f aca="false">SUM(AL9:AL11)</f>
        <v>9978.88363602961</v>
      </c>
    </row>
    <row r="13" customFormat="false" ht="15" hidden="false" customHeight="false" outlineLevel="0" collapsed="false">
      <c r="A13" s="5" t="s">
        <v>257</v>
      </c>
      <c r="B13" s="14" t="s">
        <v>84</v>
      </c>
      <c r="C13" s="47" t="n">
        <f aca="false">C8+C12</f>
        <v>4547.7504</v>
      </c>
      <c r="D13" s="47" t="n">
        <f aca="false">D8+D12</f>
        <v>4165.68604032</v>
      </c>
      <c r="E13" s="47" t="n">
        <f aca="false">E8+E12</f>
        <v>3856.9797857097</v>
      </c>
      <c r="F13" s="47" t="n">
        <f aca="false">F8+F12</f>
        <v>3625.49392271019</v>
      </c>
      <c r="G13" s="47" t="n">
        <f aca="false">G8+G12</f>
        <v>3475.8452319612</v>
      </c>
      <c r="H13" s="47" t="n">
        <f aca="false">H8+H12</f>
        <v>3413.4788844444</v>
      </c>
      <c r="I13" s="47" t="n">
        <f aca="false">I8+I12</f>
        <v>3444.752162404</v>
      </c>
      <c r="J13" s="47" t="n">
        <f aca="false">J8+J12</f>
        <v>3577.02912912139</v>
      </c>
      <c r="K13" s="47" t="n">
        <f aca="false">K8+K12</f>
        <v>3818.78750977735</v>
      </c>
      <c r="L13" s="47" t="n">
        <f aca="false">L8+L12</f>
        <v>4179.73920007915</v>
      </c>
      <c r="M13" s="47" t="n">
        <f aca="false">M8+M12</f>
        <v>4670.96599213654</v>
      </c>
      <c r="N13" s="47" t="n">
        <f aca="false">N8+N12</f>
        <v>5305.07230045447</v>
      </c>
      <c r="O13" s="47" t="n">
        <f aca="false">O8+O12</f>
        <v>3760.28108734978</v>
      </c>
      <c r="P13" s="47" t="n">
        <f aca="false">P8+P12</f>
        <v>2405.80590864961</v>
      </c>
      <c r="Q13" s="47" t="n">
        <f aca="false">Q8+Q12</f>
        <v>1261.62035208505</v>
      </c>
      <c r="R13" s="47" t="n">
        <f aca="false">R8+R12</f>
        <v>350.225451985289</v>
      </c>
      <c r="S13" s="47" t="n">
        <f aca="false">S8+S12</f>
        <v>-303.057779281169</v>
      </c>
      <c r="T13" s="47" t="n">
        <f aca="false">T8+T12</f>
        <v>-669.76036297292</v>
      </c>
      <c r="U13" s="47" t="n">
        <f aca="false">U8+U12</f>
        <v>-717.89769534249</v>
      </c>
      <c r="V13" s="47" t="n">
        <f aca="false">V8+V12</f>
        <v>-411.557499004069</v>
      </c>
      <c r="W13" s="47" t="n">
        <f aca="false">W8+W12</f>
        <v>289.561902270119</v>
      </c>
      <c r="X13" s="47" t="n">
        <f aca="false">X8+X12</f>
        <v>1430.66890661905</v>
      </c>
      <c r="Y13" s="47" t="n">
        <f aca="false">Y8+Y12</f>
        <v>3062.45818703352</v>
      </c>
      <c r="Z13" s="47" t="n">
        <f aca="false">Z8+Z12</f>
        <v>5241.75990199136</v>
      </c>
      <c r="AA13" s="47" t="n">
        <f aca="false">AA8+AA12</f>
        <v>8147.01382274284</v>
      </c>
      <c r="AB13" s="47" t="n">
        <f aca="false">AB8+AB12</f>
        <v>11746.6767125882</v>
      </c>
      <c r="AC13" s="47" t="n">
        <f aca="false">AC8+AC12</f>
        <v>16121.8828885838</v>
      </c>
      <c r="AD13" s="47" t="n">
        <f aca="false">AD8+AD12</f>
        <v>21176.4005522503</v>
      </c>
      <c r="AE13" s="47" t="n">
        <f aca="false">AE8+AE12</f>
        <v>26790.5366077651</v>
      </c>
      <c r="AF13" s="47" t="n">
        <f aca="false">AF8+AF12</f>
        <v>32946.4826094802</v>
      </c>
      <c r="AG13" s="47" t="n">
        <f aca="false">AG8+AG12</f>
        <v>39629.0319110576</v>
      </c>
      <c r="AH13" s="47" t="n">
        <f aca="false">AH8+AH12</f>
        <v>46825.606538572</v>
      </c>
      <c r="AI13" s="47" t="n">
        <f aca="false">AI8+AI12</f>
        <v>54526.3025889352</v>
      </c>
      <c r="AJ13" s="47" t="n">
        <f aca="false">AJ8+AJ12</f>
        <v>62942.6385401112</v>
      </c>
      <c r="AK13" s="47" t="n">
        <f aca="false">AK8+AK12</f>
        <v>72149.5297286347</v>
      </c>
      <c r="AL13" s="47" t="n">
        <f aca="false">AL8+AL12</f>
        <v>82128.4133646642</v>
      </c>
    </row>
    <row r="15" customFormat="false" ht="15" hidden="false" customHeight="false" outlineLevel="0" collapsed="false">
      <c r="A15" s="3" t="s">
        <v>258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customFormat="false" ht="15" hidden="false" customHeight="false" outlineLevel="0" collapsed="false">
      <c r="A16" s="8" t="s">
        <v>259</v>
      </c>
      <c r="B16" s="14" t="s">
        <v>84</v>
      </c>
      <c r="C16" s="34" t="n">
        <f aca="false">0</f>
        <v>0</v>
      </c>
      <c r="D16" s="34" t="n">
        <f aca="false">C19</f>
        <v>217.8</v>
      </c>
      <c r="E16" s="34" t="n">
        <f aca="false">D19</f>
        <v>437.81474</v>
      </c>
      <c r="F16" s="34" t="n">
        <f aca="false">E19</f>
        <v>660.249349122</v>
      </c>
      <c r="G16" s="34" t="n">
        <f aca="false">F19</f>
        <v>885.343454970487</v>
      </c>
      <c r="H16" s="34" t="n">
        <f aca="false">G19</f>
        <v>1113.37535204359</v>
      </c>
      <c r="I16" s="34" t="n">
        <f aca="false">H19</f>
        <v>1344.6667164325</v>
      </c>
      <c r="J16" s="34" t="n">
        <f aca="false">I19</f>
        <v>1579.58793353694</v>
      </c>
      <c r="K16" s="34" t="n">
        <f aca="false">J19</f>
        <v>1818.56411376974</v>
      </c>
      <c r="L16" s="34" t="n">
        <f aca="false">K19</f>
        <v>2062.08188046951</v>
      </c>
      <c r="M16" s="34" t="n">
        <f aca="false">L19</f>
        <v>2310.69702460722</v>
      </c>
      <c r="N16" s="34" t="n">
        <f aca="false">M19</f>
        <v>2565.04313249766</v>
      </c>
      <c r="O16" s="34" t="n">
        <f aca="false">N19</f>
        <v>2825.84130576122</v>
      </c>
      <c r="P16" s="34" t="n">
        <f aca="false">O19</f>
        <v>3266.17110739749</v>
      </c>
      <c r="Q16" s="34" t="n">
        <f aca="false">P19</f>
        <v>3738.01141781935</v>
      </c>
      <c r="R16" s="34" t="n">
        <f aca="false">Q19</f>
        <v>4244.76217272981</v>
      </c>
      <c r="S16" s="34" t="n">
        <f aca="false">R19</f>
        <v>4790.20963353729</v>
      </c>
      <c r="T16" s="34" t="n">
        <f aca="false">S19</f>
        <v>5378.5705394555</v>
      </c>
      <c r="U16" s="34" t="n">
        <f aca="false">T19</f>
        <v>6014.5414084788</v>
      </c>
      <c r="V16" s="34" t="n">
        <f aca="false">U19</f>
        <v>6703.35359158837</v>
      </c>
      <c r="W16" s="34" t="n">
        <f aca="false">V19</f>
        <v>7450.834756076</v>
      </c>
      <c r="X16" s="34" t="n">
        <f aca="false">W19</f>
        <v>8263.47755390267</v>
      </c>
      <c r="Y16" s="34" t="n">
        <f aca="false">X19</f>
        <v>9148.51632055288</v>
      </c>
      <c r="Z16" s="34" t="n">
        <f aca="false">Y19</f>
        <v>10114.0127500362</v>
      </c>
      <c r="AA16" s="34" t="n">
        <f aca="false">Z19</f>
        <v>11168.9516037957</v>
      </c>
      <c r="AB16" s="34" t="n">
        <f aca="false">AA19</f>
        <v>12443.929636731</v>
      </c>
      <c r="AC16" s="34" t="n">
        <f aca="false">AB19</f>
        <v>13845.8109299617</v>
      </c>
      <c r="AD16" s="34" t="n">
        <f aca="false">AC19</f>
        <v>15388.6793755652</v>
      </c>
      <c r="AE16" s="34" t="n">
        <f aca="false">AD19</f>
        <v>16959.9742957197</v>
      </c>
      <c r="AF16" s="34" t="n">
        <f aca="false">AE19</f>
        <v>18468.9470103149</v>
      </c>
      <c r="AG16" s="34" t="n">
        <f aca="false">AF19</f>
        <v>19927.1044137892</v>
      </c>
      <c r="AH16" s="34" t="n">
        <f aca="false">AG19</f>
        <v>21347.325896172</v>
      </c>
      <c r="AI16" s="34" t="n">
        <f aca="false">AH19</f>
        <v>22744.0141025032</v>
      </c>
      <c r="AJ16" s="34" t="n">
        <f aca="false">AI19</f>
        <v>24133.263360284</v>
      </c>
      <c r="AK16" s="34" t="n">
        <f aca="false">AJ19</f>
        <v>25451.2458156669</v>
      </c>
      <c r="AL16" s="34" t="n">
        <f aca="false">AK19</f>
        <v>26684.2900350147</v>
      </c>
    </row>
    <row r="17" customFormat="false" ht="15" hidden="false" customHeight="false" outlineLevel="0" collapsed="false">
      <c r="A17" s="8" t="s">
        <v>260</v>
      </c>
      <c r="B17" s="14" t="s">
        <v>84</v>
      </c>
      <c r="C17" s="49" t="n">
        <f aca="false">'P&amp;L'!C11</f>
        <v>237.6</v>
      </c>
      <c r="D17" s="49" t="n">
        <f aca="false">'P&amp;L'!D11</f>
        <v>261.61608</v>
      </c>
      <c r="E17" s="49" t="n">
        <f aca="false">'P&amp;L'!E11</f>
        <v>288.039217224</v>
      </c>
      <c r="F17" s="49" t="n">
        <f aca="false">'P&amp;L'!F11</f>
        <v>317.125869764167</v>
      </c>
      <c r="G17" s="49" t="n">
        <f aca="false">'P&amp;L'!G11</f>
        <v>349.160357442309</v>
      </c>
      <c r="H17" s="49" t="n">
        <f aca="false">'P&amp;L'!H11</f>
        <v>384.457990645223</v>
      </c>
      <c r="I17" s="49" t="n">
        <f aca="false">'P&amp;L'!I11</f>
        <v>423.368556393536</v>
      </c>
      <c r="J17" s="49" t="n">
        <f aca="false">'P&amp;L'!J11</f>
        <v>466.280203114802</v>
      </c>
      <c r="K17" s="49" t="n">
        <f aca="false">'P&amp;L'!K11</f>
        <v>513.623770452843</v>
      </c>
      <c r="L17" s="49" t="n">
        <f aca="false">'P&amp;L'!L11</f>
        <v>565.877615880862</v>
      </c>
      <c r="M17" s="49" t="n">
        <f aca="false">'P&amp;L'!M11</f>
        <v>623.572995963903</v>
      </c>
      <c r="N17" s="49" t="n">
        <f aca="false">'P&amp;L'!N11</f>
        <v>687.300066913131</v>
      </c>
      <c r="O17" s="49" t="n">
        <f aca="false">'P&amp;L'!O11</f>
        <v>924.034576675449</v>
      </c>
      <c r="P17" s="49" t="n">
        <f aca="false">'P&amp;L'!P11</f>
        <v>1018.62954050296</v>
      </c>
      <c r="Q17" s="49" t="n">
        <f aca="false">'P&amp;L'!Q11</f>
        <v>1123.13096387952</v>
      </c>
      <c r="R17" s="49" t="n">
        <f aca="false">'P&amp;L'!R11</f>
        <v>1238.61874250494</v>
      </c>
      <c r="S17" s="49" t="n">
        <f aca="false">'P&amp;L'!S11</f>
        <v>1366.29326308598</v>
      </c>
      <c r="T17" s="49" t="n">
        <f aca="false">'P&amp;L'!T11</f>
        <v>1507.48915669523</v>
      </c>
      <c r="U17" s="49" t="n">
        <f aca="false">'P&amp;L'!U11</f>
        <v>1663.69064481677</v>
      </c>
      <c r="V17" s="49" t="n">
        <f aca="false">'P&amp;L'!V11</f>
        <v>1836.54866465665</v>
      </c>
      <c r="W17" s="49" t="n">
        <f aca="false">'P&amp;L'!W11</f>
        <v>2027.89998231777</v>
      </c>
      <c r="X17" s="49" t="n">
        <f aca="false">'P&amp;L'!X11</f>
        <v>2239.78852707407</v>
      </c>
      <c r="Y17" s="49" t="n">
        <f aca="false">'P&amp;L'!Y11</f>
        <v>2474.48920753835</v>
      </c>
      <c r="Z17" s="49" t="n">
        <f aca="false">'P&amp;L'!Z11</f>
        <v>2734.53450135106</v>
      </c>
      <c r="AA17" s="49" t="n">
        <f aca="false">'P&amp;L'!AA11</f>
        <v>3139.16814451342</v>
      </c>
      <c r="AB17" s="49" t="n">
        <f aca="false">'P&amp;L'!AB11</f>
        <v>3470.38430156379</v>
      </c>
      <c r="AC17" s="49" t="n">
        <f aca="false">'P&amp;L'!AC11</f>
        <v>3837.57513485087</v>
      </c>
      <c r="AD17" s="49" t="n">
        <f aca="false">'P&amp;L'!AD11</f>
        <v>4104.85459730164</v>
      </c>
      <c r="AE17" s="49" t="n">
        <f aca="false">'P&amp;L'!AE11</f>
        <v>4285.82685798382</v>
      </c>
      <c r="AF17" s="49" t="n">
        <f aca="false">'P&amp;L'!AF11</f>
        <v>4482.96812778728</v>
      </c>
      <c r="AG17" s="49" t="n">
        <f aca="false">'P&amp;L'!AG11</f>
        <v>4697.88143959389</v>
      </c>
      <c r="AH17" s="49" t="n">
        <f aca="false">'P&amp;L'!AH11</f>
        <v>4932.32993616821</v>
      </c>
      <c r="AI17" s="49" t="n">
        <f aca="false">'P&amp;L'!AI11</f>
        <v>5188.25380628143</v>
      </c>
      <c r="AJ17" s="49" t="n">
        <f aca="false">'P&amp;L'!AJ11</f>
        <v>5378.55050177527</v>
      </c>
      <c r="AK17" s="49" t="n">
        <f aca="false">'P&amp;L'!AK11</f>
        <v>5549.89618012226</v>
      </c>
      <c r="AL17" s="49" t="n">
        <f aca="false">'P&amp;L'!AL11</f>
        <v>5738.66088209797</v>
      </c>
    </row>
    <row r="18" customFormat="false" ht="15" hidden="false" customHeight="false" outlineLevel="0" collapsed="false">
      <c r="A18" s="8" t="s">
        <v>261</v>
      </c>
      <c r="B18" s="14" t="s">
        <v>84</v>
      </c>
      <c r="C18" s="49" t="n">
        <f aca="false">-'P&amp;L'!C17</f>
        <v>-19.8</v>
      </c>
      <c r="D18" s="49" t="n">
        <f aca="false">-'P&amp;L'!D17</f>
        <v>-41.60134</v>
      </c>
      <c r="E18" s="49" t="n">
        <f aca="false">-'P&amp;L'!E17</f>
        <v>-65.604608102</v>
      </c>
      <c r="F18" s="49" t="n">
        <f aca="false">-'P&amp;L'!F17</f>
        <v>-92.0317639156806</v>
      </c>
      <c r="G18" s="49" t="n">
        <f aca="false">-'P&amp;L'!G17</f>
        <v>-121.128460369206</v>
      </c>
      <c r="H18" s="49" t="n">
        <f aca="false">-'P&amp;L'!H17</f>
        <v>-153.166626256308</v>
      </c>
      <c r="I18" s="49" t="n">
        <f aca="false">-'P&amp;L'!I17</f>
        <v>-188.447339289103</v>
      </c>
      <c r="J18" s="49" t="n">
        <f aca="false">-'P&amp;L'!J17</f>
        <v>-227.304022882003</v>
      </c>
      <c r="K18" s="49" t="n">
        <f aca="false">-'P&amp;L'!K17</f>
        <v>-270.106003753073</v>
      </c>
      <c r="L18" s="49" t="n">
        <f aca="false">-'P&amp;L'!L17</f>
        <v>-317.262471743145</v>
      </c>
      <c r="M18" s="49" t="n">
        <f aca="false">-'P&amp;L'!M17</f>
        <v>-369.226888073471</v>
      </c>
      <c r="N18" s="49" t="n">
        <f aca="false">-'P&amp;L'!N17</f>
        <v>-426.501893649565</v>
      </c>
      <c r="O18" s="49" t="n">
        <f aca="false">-'P&amp;L'!O17</f>
        <v>-483.704775039186</v>
      </c>
      <c r="P18" s="49" t="n">
        <f aca="false">-'P&amp;L'!P17</f>
        <v>-546.789230081099</v>
      </c>
      <c r="Q18" s="49" t="n">
        <f aca="false">-'P&amp;L'!Q17</f>
        <v>-616.380208969059</v>
      </c>
      <c r="R18" s="49" t="n">
        <f aca="false">-'P&amp;L'!R17</f>
        <v>-693.171281697456</v>
      </c>
      <c r="S18" s="49" t="n">
        <f aca="false">-'P&amp;L'!S17</f>
        <v>-777.932357167762</v>
      </c>
      <c r="T18" s="49" t="n">
        <f aca="false">-'P&amp;L'!T17</f>
        <v>-871.518287671929</v>
      </c>
      <c r="U18" s="49" t="n">
        <f aca="false">-'P&amp;L'!U17</f>
        <v>-974.878461707198</v>
      </c>
      <c r="V18" s="49" t="n">
        <f aca="false">-'P&amp;L'!V17</f>
        <v>-1089.06750016902</v>
      </c>
      <c r="W18" s="49" t="n">
        <f aca="false">-'P&amp;L'!W17</f>
        <v>-1215.2571844911</v>
      </c>
      <c r="X18" s="49" t="n">
        <f aca="false">-'P&amp;L'!X17</f>
        <v>-1354.74976042386</v>
      </c>
      <c r="Y18" s="49" t="n">
        <f aca="false">-'P&amp;L'!Y17</f>
        <v>-1508.99277805507</v>
      </c>
      <c r="Z18" s="49" t="n">
        <f aca="false">-'P&amp;L'!Z17</f>
        <v>-1679.59564759156</v>
      </c>
      <c r="AA18" s="49" t="n">
        <f aca="false">-'P&amp;L'!AA17</f>
        <v>-1864.19011157806</v>
      </c>
      <c r="AB18" s="49" t="n">
        <f aca="false">-'P&amp;L'!AB17</f>
        <v>-2068.50300833313</v>
      </c>
      <c r="AC18" s="49" t="n">
        <f aca="false">-'P&amp;L'!AC17</f>
        <v>-2294.70668924741</v>
      </c>
      <c r="AD18" s="49" t="n">
        <f aca="false">-'P&amp;L'!AD17</f>
        <v>-2533.55967714713</v>
      </c>
      <c r="AE18" s="49" t="n">
        <f aca="false">-'P&amp;L'!AE17</f>
        <v>-2776.85414338862</v>
      </c>
      <c r="AF18" s="49" t="n">
        <f aca="false">-'P&amp;L'!AF17</f>
        <v>-3024.81072431296</v>
      </c>
      <c r="AG18" s="49" t="n">
        <f aca="false">-'P&amp;L'!AG17</f>
        <v>-3277.65995721105</v>
      </c>
      <c r="AH18" s="49" t="n">
        <f aca="false">-'P&amp;L'!AH17</f>
        <v>-3535.64172983701</v>
      </c>
      <c r="AI18" s="49" t="n">
        <f aca="false">-'P&amp;L'!AI17</f>
        <v>-3799.00454850065</v>
      </c>
      <c r="AJ18" s="49" t="n">
        <f aca="false">-'P&amp;L'!AJ17</f>
        <v>-4060.56804639242</v>
      </c>
      <c r="AK18" s="49" t="n">
        <f aca="false">-'P&amp;L'!AK17</f>
        <v>-4316.85196077441</v>
      </c>
      <c r="AL18" s="49" t="n">
        <f aca="false">-'P&amp;L'!AL17</f>
        <v>-4567.19582583666</v>
      </c>
    </row>
    <row r="19" customFormat="false" ht="15" hidden="false" customHeight="false" outlineLevel="0" collapsed="false">
      <c r="A19" s="37" t="s">
        <v>262</v>
      </c>
      <c r="B19" s="38" t="s">
        <v>84</v>
      </c>
      <c r="C19" s="45" t="n">
        <f aca="false">SUM(C16:C18)</f>
        <v>217.8</v>
      </c>
      <c r="D19" s="45" t="n">
        <f aca="false">SUM(D16:D18)</f>
        <v>437.81474</v>
      </c>
      <c r="E19" s="45" t="n">
        <f aca="false">SUM(E16:E18)</f>
        <v>660.249349122</v>
      </c>
      <c r="F19" s="45" t="n">
        <f aca="false">SUM(F16:F18)</f>
        <v>885.343454970487</v>
      </c>
      <c r="G19" s="45" t="n">
        <f aca="false">SUM(G16:G18)</f>
        <v>1113.37535204359</v>
      </c>
      <c r="H19" s="45" t="n">
        <f aca="false">SUM(H16:H18)</f>
        <v>1344.6667164325</v>
      </c>
      <c r="I19" s="45" t="n">
        <f aca="false">SUM(I16:I18)</f>
        <v>1579.58793353694</v>
      </c>
      <c r="J19" s="45" t="n">
        <f aca="false">SUM(J16:J18)</f>
        <v>1818.56411376974</v>
      </c>
      <c r="K19" s="45" t="n">
        <f aca="false">SUM(K16:K18)</f>
        <v>2062.08188046951</v>
      </c>
      <c r="L19" s="45" t="n">
        <f aca="false">SUM(L16:L18)</f>
        <v>2310.69702460722</v>
      </c>
      <c r="M19" s="45" t="n">
        <f aca="false">SUM(M16:M18)</f>
        <v>2565.04313249766</v>
      </c>
      <c r="N19" s="45" t="n">
        <f aca="false">SUM(N16:N18)</f>
        <v>2825.84130576122</v>
      </c>
      <c r="O19" s="45" t="n">
        <f aca="false">SUM(O16:O18)</f>
        <v>3266.17110739749</v>
      </c>
      <c r="P19" s="45" t="n">
        <f aca="false">SUM(P16:P18)</f>
        <v>3738.01141781935</v>
      </c>
      <c r="Q19" s="45" t="n">
        <f aca="false">SUM(Q16:Q18)</f>
        <v>4244.76217272981</v>
      </c>
      <c r="R19" s="45" t="n">
        <f aca="false">SUM(R16:R18)</f>
        <v>4790.20963353729</v>
      </c>
      <c r="S19" s="45" t="n">
        <f aca="false">SUM(S16:S18)</f>
        <v>5378.5705394555</v>
      </c>
      <c r="T19" s="45" t="n">
        <f aca="false">SUM(T16:T18)</f>
        <v>6014.5414084788</v>
      </c>
      <c r="U19" s="45" t="n">
        <f aca="false">SUM(U16:U18)</f>
        <v>6703.35359158837</v>
      </c>
      <c r="V19" s="45" t="n">
        <f aca="false">SUM(V16:V18)</f>
        <v>7450.834756076</v>
      </c>
      <c r="W19" s="45" t="n">
        <f aca="false">SUM(W16:W18)</f>
        <v>8263.47755390267</v>
      </c>
      <c r="X19" s="45" t="n">
        <f aca="false">SUM(X16:X18)</f>
        <v>9148.51632055288</v>
      </c>
      <c r="Y19" s="45" t="n">
        <f aca="false">SUM(Y16:Y18)</f>
        <v>10114.0127500362</v>
      </c>
      <c r="Z19" s="45" t="n">
        <f aca="false">SUM(Z16:Z18)</f>
        <v>11168.9516037957</v>
      </c>
      <c r="AA19" s="45" t="n">
        <f aca="false">SUM(AA16:AA18)</f>
        <v>12443.929636731</v>
      </c>
      <c r="AB19" s="45" t="n">
        <f aca="false">SUM(AB16:AB18)</f>
        <v>13845.8109299617</v>
      </c>
      <c r="AC19" s="45" t="n">
        <f aca="false">SUM(AC16:AC18)</f>
        <v>15388.6793755652</v>
      </c>
      <c r="AD19" s="45" t="n">
        <f aca="false">SUM(AD16:AD18)</f>
        <v>16959.9742957197</v>
      </c>
      <c r="AE19" s="45" t="n">
        <f aca="false">SUM(AE16:AE18)</f>
        <v>18468.9470103149</v>
      </c>
      <c r="AF19" s="45" t="n">
        <f aca="false">SUM(AF16:AF18)</f>
        <v>19927.1044137892</v>
      </c>
      <c r="AG19" s="45" t="n">
        <f aca="false">SUM(AG16:AG18)</f>
        <v>21347.325896172</v>
      </c>
      <c r="AH19" s="45" t="n">
        <f aca="false">SUM(AH16:AH18)</f>
        <v>22744.0141025032</v>
      </c>
      <c r="AI19" s="45" t="n">
        <f aca="false">SUM(AI16:AI18)</f>
        <v>24133.263360284</v>
      </c>
      <c r="AJ19" s="45" t="n">
        <f aca="false">SUM(AJ16:AJ18)</f>
        <v>25451.2458156669</v>
      </c>
      <c r="AK19" s="45" t="n">
        <f aca="false">SUM(AK16:AK18)</f>
        <v>26684.2900350147</v>
      </c>
      <c r="AL19" s="45" t="n">
        <f aca="false">SUM(AL16:AL18)</f>
        <v>27855.755091276</v>
      </c>
    </row>
    <row r="21" customFormat="false" ht="15" hidden="false" customHeight="false" outlineLevel="0" collapsed="false">
      <c r="A21" s="3" t="s">
        <v>263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customFormat="false" ht="15" hidden="false" customHeight="false" outlineLevel="0" collapsed="false">
      <c r="A22" s="8" t="s">
        <v>243</v>
      </c>
      <c r="B22" s="14" t="s">
        <v>84</v>
      </c>
      <c r="C22" s="49" t="n">
        <f aca="false">'P&amp;L'!C40</f>
        <v>-670.0496</v>
      </c>
      <c r="D22" s="49" t="n">
        <f aca="false">'P&amp;L'!D40</f>
        <v>-602.07909968</v>
      </c>
      <c r="E22" s="49" t="n">
        <f aca="false">'P&amp;L'!E40</f>
        <v>-531.140863732304</v>
      </c>
      <c r="F22" s="49" t="n">
        <f aca="false">'P&amp;L'!F40</f>
        <v>-456.57996884799</v>
      </c>
      <c r="G22" s="49" t="n">
        <f aca="false">'P&amp;L'!G40</f>
        <v>-377.680587822096</v>
      </c>
      <c r="H22" s="49" t="n">
        <f aca="false">'P&amp;L'!H40</f>
        <v>-293.657711905719</v>
      </c>
      <c r="I22" s="49" t="n">
        <f aca="false">'P&amp;L'!I40</f>
        <v>-203.647939144825</v>
      </c>
      <c r="J22" s="49" t="n">
        <f aca="false">'P&amp;L'!J40</f>
        <v>-106.69921351541</v>
      </c>
      <c r="K22" s="49" t="n">
        <f aca="false">'P&amp;L'!K40</f>
        <v>-1.75938604381508</v>
      </c>
      <c r="L22" s="49" t="n">
        <f aca="false">'P&amp;L'!L40</f>
        <v>112.336546164085</v>
      </c>
      <c r="M22" s="49" t="n">
        <f aca="false">'P&amp;L'!M40</f>
        <v>236.880684166957</v>
      </c>
      <c r="N22" s="49" t="n">
        <f aca="false">'P&amp;L'!N40</f>
        <v>373.308135054369</v>
      </c>
      <c r="O22" s="49" t="n">
        <f aca="false">'P&amp;L'!O40</f>
        <v>-1985.12101474096</v>
      </c>
      <c r="P22" s="49" t="n">
        <f aca="false">'P&amp;L'!P40</f>
        <v>-1826.31548912204</v>
      </c>
      <c r="Q22" s="49" t="n">
        <f aca="false">'P&amp;L'!Q40</f>
        <v>-1650.93631147501</v>
      </c>
      <c r="R22" s="49" t="n">
        <f aca="false">'P&amp;L'!R40</f>
        <v>-1456.84236090724</v>
      </c>
      <c r="S22" s="49" t="n">
        <f aca="false">'P&amp;L'!S40</f>
        <v>-1241.64413718468</v>
      </c>
      <c r="T22" s="49" t="n">
        <f aca="false">'P&amp;L'!T40</f>
        <v>-1002.67345271505</v>
      </c>
      <c r="U22" s="49" t="n">
        <f aca="false">'P&amp;L'!U40</f>
        <v>-736.94951547914</v>
      </c>
      <c r="V22" s="49" t="n">
        <f aca="false">'P&amp;L'!V40</f>
        <v>-441.140968149205</v>
      </c>
      <c r="W22" s="49" t="n">
        <f aca="false">'P&amp;L'!W40</f>
        <v>-111.523396552485</v>
      </c>
      <c r="X22" s="49" t="n">
        <f aca="false">'P&amp;L'!X40</f>
        <v>256.068237698716</v>
      </c>
      <c r="Y22" s="49" t="n">
        <f aca="false">'P&amp;L'!Y40</f>
        <v>666.292850931189</v>
      </c>
      <c r="Z22" s="49" t="n">
        <f aca="false">'P&amp;L'!Z40</f>
        <v>1124.36286119835</v>
      </c>
      <c r="AA22" s="49" t="n">
        <f aca="false">'P&amp;L'!AA40</f>
        <v>1630.27588781612</v>
      </c>
      <c r="AB22" s="49" t="n">
        <f aca="false">'P&amp;L'!AB40</f>
        <v>2197.78159661465</v>
      </c>
      <c r="AC22" s="49" t="n">
        <f aca="false">'P&amp;L'!AC40</f>
        <v>2832.33773039217</v>
      </c>
      <c r="AD22" s="49" t="n">
        <f aca="false">'P&amp;L'!AD40</f>
        <v>3483.22274351205</v>
      </c>
      <c r="AE22" s="49" t="n">
        <f aca="false">'P&amp;L'!AE40</f>
        <v>4105.16334091951</v>
      </c>
      <c r="AF22" s="49" t="n">
        <f aca="false">'P&amp;L'!AF40</f>
        <v>4697.7885982408</v>
      </c>
      <c r="AG22" s="49" t="n">
        <f aca="false">'P&amp;L'!AG40</f>
        <v>5262.32781919453</v>
      </c>
      <c r="AH22" s="49" t="n">
        <f aca="false">'P&amp;L'!AH40</f>
        <v>5799.88642118326</v>
      </c>
      <c r="AI22" s="49" t="n">
        <f aca="false">'P&amp;L'!AI40</f>
        <v>6311.44679258244</v>
      </c>
      <c r="AJ22" s="49" t="n">
        <f aca="false">'P&amp;L'!AJ40</f>
        <v>7098.35349579309</v>
      </c>
      <c r="AK22" s="49" t="n">
        <f aca="false">'P&amp;L'!AK40</f>
        <v>7973.84696917563</v>
      </c>
      <c r="AL22" s="49" t="n">
        <f aca="false">'P&amp;L'!AL40</f>
        <v>8807.41857976829</v>
      </c>
    </row>
    <row r="23" customFormat="false" ht="15" hidden="false" customHeight="false" outlineLevel="0" collapsed="false">
      <c r="A23" s="8" t="s">
        <v>264</v>
      </c>
      <c r="B23" s="14" t="s">
        <v>84</v>
      </c>
      <c r="C23" s="34" t="n">
        <f aca="false">C19-C16</f>
        <v>217.8</v>
      </c>
      <c r="D23" s="34" t="n">
        <f aca="false">D19-D16</f>
        <v>220.01474</v>
      </c>
      <c r="E23" s="34" t="n">
        <f aca="false">E19-E16</f>
        <v>222.434609122</v>
      </c>
      <c r="F23" s="34" t="n">
        <f aca="false">F19-F16</f>
        <v>225.094105848487</v>
      </c>
      <c r="G23" s="34" t="n">
        <f aca="false">G19-G16</f>
        <v>228.031897073103</v>
      </c>
      <c r="H23" s="34" t="n">
        <f aca="false">H19-H16</f>
        <v>231.291364388915</v>
      </c>
      <c r="I23" s="34" t="n">
        <f aca="false">I19-I16</f>
        <v>234.921217104433</v>
      </c>
      <c r="J23" s="34" t="n">
        <f aca="false">J19-J16</f>
        <v>238.976180232799</v>
      </c>
      <c r="K23" s="34" t="n">
        <f aca="false">K19-K16</f>
        <v>243.51776669977</v>
      </c>
      <c r="L23" s="34" t="n">
        <f aca="false">L19-L16</f>
        <v>248.615144137716</v>
      </c>
      <c r="M23" s="34" t="n">
        <f aca="false">M19-M16</f>
        <v>254.346107890433</v>
      </c>
      <c r="N23" s="34" t="n">
        <f aca="false">N19-N16</f>
        <v>260.798173263566</v>
      </c>
      <c r="O23" s="34" t="n">
        <f aca="false">O19-O16</f>
        <v>440.329801636263</v>
      </c>
      <c r="P23" s="34" t="n">
        <f aca="false">P19-P16</f>
        <v>471.840310421862</v>
      </c>
      <c r="Q23" s="34" t="n">
        <f aca="false">Q19-Q16</f>
        <v>506.750754910458</v>
      </c>
      <c r="R23" s="34" t="n">
        <f aca="false">R19-R16</f>
        <v>545.447460807483</v>
      </c>
      <c r="S23" s="34" t="n">
        <f aca="false">S19-S16</f>
        <v>588.360905918217</v>
      </c>
      <c r="T23" s="34" t="n">
        <f aca="false">T19-T16</f>
        <v>635.970869023297</v>
      </c>
      <c r="U23" s="34" t="n">
        <f aca="false">U19-U16</f>
        <v>688.812183109571</v>
      </c>
      <c r="V23" s="34" t="n">
        <f aca="false">V19-V16</f>
        <v>747.481164487628</v>
      </c>
      <c r="W23" s="34" t="n">
        <f aca="false">W19-W16</f>
        <v>812.642797826675</v>
      </c>
      <c r="X23" s="34" t="n">
        <f aca="false">X19-X16</f>
        <v>885.03876665021</v>
      </c>
      <c r="Y23" s="34" t="n">
        <f aca="false">Y19-Y16</f>
        <v>965.496429483283</v>
      </c>
      <c r="Z23" s="34" t="n">
        <f aca="false">Z19-Z16</f>
        <v>1054.9388537595</v>
      </c>
      <c r="AA23" s="34" t="n">
        <f aca="false">AA19-AA16</f>
        <v>1274.97803293536</v>
      </c>
      <c r="AB23" s="34" t="n">
        <f aca="false">AB19-AB16</f>
        <v>1401.88129323066</v>
      </c>
      <c r="AC23" s="34" t="n">
        <f aca="false">AC19-AC16</f>
        <v>1542.86844560347</v>
      </c>
      <c r="AD23" s="34" t="n">
        <f aca="false">AD19-AD16</f>
        <v>1571.29492015451</v>
      </c>
      <c r="AE23" s="34" t="n">
        <f aca="false">AE19-AE16</f>
        <v>1508.9727145952</v>
      </c>
      <c r="AF23" s="34" t="n">
        <f aca="false">AF19-AF16</f>
        <v>1458.15740347432</v>
      </c>
      <c r="AG23" s="34" t="n">
        <f aca="false">AG19-AG16</f>
        <v>1420.22148238284</v>
      </c>
      <c r="AH23" s="34" t="n">
        <f aca="false">AH19-AH16</f>
        <v>1396.68820633119</v>
      </c>
      <c r="AI23" s="34" t="n">
        <f aca="false">AI19-AI16</f>
        <v>1389.24925778078</v>
      </c>
      <c r="AJ23" s="34" t="n">
        <f aca="false">AJ19-AJ16</f>
        <v>1317.98245538285</v>
      </c>
      <c r="AK23" s="34" t="n">
        <f aca="false">AK19-AK16</f>
        <v>1233.04421934785</v>
      </c>
      <c r="AL23" s="34" t="n">
        <f aca="false">AL19-AL16</f>
        <v>1171.46505626132</v>
      </c>
    </row>
    <row r="24" customFormat="false" ht="15" hidden="false" customHeight="false" outlineLevel="0" collapsed="false">
      <c r="A24" s="5" t="s">
        <v>265</v>
      </c>
      <c r="B24" s="14" t="s">
        <v>84</v>
      </c>
      <c r="C24" s="51" t="n">
        <f aca="false">ROUND(C12-C22-C23,6)</f>
        <v>0</v>
      </c>
      <c r="D24" s="51" t="n">
        <f aca="false">ROUND(D12-D22-D23,6)</f>
        <v>0</v>
      </c>
      <c r="E24" s="51" t="n">
        <f aca="false">ROUND(E12-E22-E23,6)</f>
        <v>0</v>
      </c>
      <c r="F24" s="51" t="n">
        <f aca="false">ROUND(F12-F22-F23,6)</f>
        <v>0</v>
      </c>
      <c r="G24" s="51" t="n">
        <f aca="false">ROUND(G12-G22-G23,6)</f>
        <v>0</v>
      </c>
      <c r="H24" s="51" t="n">
        <f aca="false">ROUND(H12-H22-H23,6)</f>
        <v>0</v>
      </c>
      <c r="I24" s="51" t="n">
        <f aca="false">ROUND(I12-I22-I23,6)</f>
        <v>0</v>
      </c>
      <c r="J24" s="51" t="n">
        <f aca="false">ROUND(J12-J22-J23,6)</f>
        <v>0</v>
      </c>
      <c r="K24" s="51" t="n">
        <f aca="false">ROUND(K12-K22-K23,6)</f>
        <v>0</v>
      </c>
      <c r="L24" s="51" t="n">
        <f aca="false">ROUND(L12-L22-L23,6)</f>
        <v>0</v>
      </c>
      <c r="M24" s="51" t="n">
        <f aca="false">ROUND(M12-M22-M23,6)</f>
        <v>0</v>
      </c>
      <c r="N24" s="51" t="n">
        <f aca="false">ROUND(N12-N22-N23,6)</f>
        <v>0</v>
      </c>
      <c r="O24" s="51" t="n">
        <f aca="false">ROUND(O12-O22-O23,6)</f>
        <v>0</v>
      </c>
      <c r="P24" s="51" t="n">
        <f aca="false">ROUND(P12-P22-P23,6)</f>
        <v>0</v>
      </c>
      <c r="Q24" s="51" t="n">
        <f aca="false">ROUND(Q12-Q22-Q23,6)</f>
        <v>0</v>
      </c>
      <c r="R24" s="51" t="n">
        <f aca="false">ROUND(R12-R22-R23,6)</f>
        <v>0</v>
      </c>
      <c r="S24" s="51" t="n">
        <f aca="false">ROUND(S12-S22-S23,6)</f>
        <v>0</v>
      </c>
      <c r="T24" s="51" t="n">
        <f aca="false">ROUND(T12-T22-T23,6)</f>
        <v>0</v>
      </c>
      <c r="U24" s="51" t="n">
        <f aca="false">ROUND(U12-U22-U23,6)</f>
        <v>0</v>
      </c>
      <c r="V24" s="51" t="n">
        <f aca="false">ROUND(V12-V22-V23,6)</f>
        <v>0</v>
      </c>
      <c r="W24" s="51" t="n">
        <f aca="false">ROUND(W12-W22-W23,6)</f>
        <v>0</v>
      </c>
      <c r="X24" s="51" t="n">
        <f aca="false">ROUND(X12-X22-X23,6)</f>
        <v>0</v>
      </c>
      <c r="Y24" s="51" t="n">
        <f aca="false">ROUND(Y12-Y22-Y23,6)</f>
        <v>0</v>
      </c>
      <c r="Z24" s="51" t="n">
        <f aca="false">ROUND(Z12-Z22-Z23,6)</f>
        <v>0</v>
      </c>
      <c r="AA24" s="51" t="n">
        <f aca="false">ROUND(AA12-AA22-AA23,6)</f>
        <v>0</v>
      </c>
      <c r="AB24" s="51" t="n">
        <f aca="false">ROUND(AB12-AB22-AB23,6)</f>
        <v>0</v>
      </c>
      <c r="AC24" s="51" t="n">
        <f aca="false">ROUND(AC12-AC22-AC23,6)</f>
        <v>0</v>
      </c>
      <c r="AD24" s="51" t="n">
        <f aca="false">ROUND(AD12-AD22-AD23,6)</f>
        <v>0</v>
      </c>
      <c r="AE24" s="51" t="n">
        <f aca="false">ROUND(AE12-AE22-AE23,6)</f>
        <v>0</v>
      </c>
      <c r="AF24" s="51" t="n">
        <f aca="false">ROUND(AF12-AF22-AF23,6)</f>
        <v>0</v>
      </c>
      <c r="AG24" s="51" t="n">
        <f aca="false">ROUND(AG12-AG22-AG23,6)</f>
        <v>0</v>
      </c>
      <c r="AH24" s="51" t="n">
        <f aca="false">ROUND(AH12-AH22-AH23,6)</f>
        <v>0</v>
      </c>
      <c r="AI24" s="51" t="n">
        <f aca="false">ROUND(AI12-AI22-AI23,6)</f>
        <v>0</v>
      </c>
      <c r="AJ24" s="51" t="n">
        <f aca="false">ROUND(AJ12-AJ22-AJ23,6)</f>
        <v>0</v>
      </c>
      <c r="AK24" s="51" t="n">
        <f aca="false">ROUND(AK12-AK22-AK23,6)</f>
        <v>0</v>
      </c>
      <c r="AL24" s="51" t="n">
        <f aca="false">ROUND(AL12-AL22-AL23,6)</f>
        <v>0</v>
      </c>
    </row>
    <row r="25" customFormat="false" ht="15" hidden="false" customHeight="false" outlineLevel="0" collapsed="false">
      <c r="A25" s="41" t="s">
        <v>266</v>
      </c>
    </row>
    <row r="26" customFormat="false" ht="15" hidden="false" customHeight="false" outlineLevel="0" collapsed="false">
      <c r="A26" s="5" t="s">
        <v>246</v>
      </c>
    </row>
    <row r="27" customFormat="false" ht="15" hidden="false" customHeight="false" outlineLevel="0" collapsed="false">
      <c r="A27" s="8" t="s">
        <v>267</v>
      </c>
      <c r="B27" s="14" t="s">
        <v>161</v>
      </c>
      <c r="C27" s="50" t="n">
        <f aca="false">IF(C12&gt;0,C5,9999)</f>
        <v>9999</v>
      </c>
      <c r="D27" s="50" t="n">
        <f aca="false">IF(D12&gt;0,D5,9999)</f>
        <v>9999</v>
      </c>
      <c r="E27" s="50" t="n">
        <f aca="false">IF(E12&gt;0,E5,9999)</f>
        <v>9999</v>
      </c>
      <c r="F27" s="50" t="n">
        <f aca="false">IF(F12&gt;0,F5,9999)</f>
        <v>9999</v>
      </c>
      <c r="G27" s="50" t="n">
        <f aca="false">IF(G12&gt;0,G5,9999)</f>
        <v>9999</v>
      </c>
      <c r="H27" s="50" t="n">
        <f aca="false">IF(H12&gt;0,H5,9999)</f>
        <v>9999</v>
      </c>
      <c r="I27" s="50" t="n">
        <f aca="false">IF(I12&gt;0,I5,9999)</f>
        <v>7</v>
      </c>
      <c r="J27" s="50" t="n">
        <f aca="false">IF(J12&gt;0,J5,9999)</f>
        <v>8</v>
      </c>
      <c r="K27" s="50" t="n">
        <f aca="false">IF(K12&gt;0,K5,9999)</f>
        <v>9</v>
      </c>
      <c r="L27" s="50" t="n">
        <f aca="false">IF(L12&gt;0,L5,9999)</f>
        <v>10</v>
      </c>
      <c r="M27" s="50" t="n">
        <f aca="false">IF(M12&gt;0,M5,9999)</f>
        <v>11</v>
      </c>
      <c r="N27" s="50" t="n">
        <f aca="false">IF(N12&gt;0,N5,9999)</f>
        <v>12</v>
      </c>
      <c r="O27" s="50" t="n">
        <f aca="false">IF(O12&gt;0,O5,9999)</f>
        <v>9999</v>
      </c>
      <c r="P27" s="50" t="n">
        <f aca="false">IF(P12&gt;0,P5,9999)</f>
        <v>9999</v>
      </c>
      <c r="Q27" s="50" t="n">
        <f aca="false">IF(Q12&gt;0,Q5,9999)</f>
        <v>9999</v>
      </c>
      <c r="R27" s="50" t="n">
        <f aca="false">IF(R12&gt;0,R5,9999)</f>
        <v>9999</v>
      </c>
      <c r="S27" s="50" t="n">
        <f aca="false">IF(S12&gt;0,S5,9999)</f>
        <v>9999</v>
      </c>
      <c r="T27" s="50" t="n">
        <f aca="false">IF(T12&gt;0,T5,9999)</f>
        <v>9999</v>
      </c>
      <c r="U27" s="50" t="n">
        <f aca="false">IF(U12&gt;0,U5,9999)</f>
        <v>9999</v>
      </c>
      <c r="V27" s="50" t="n">
        <f aca="false">IF(V12&gt;0,V5,9999)</f>
        <v>20</v>
      </c>
      <c r="W27" s="50" t="n">
        <f aca="false">IF(W12&gt;0,W5,9999)</f>
        <v>21</v>
      </c>
      <c r="X27" s="50" t="n">
        <f aca="false">IF(X12&gt;0,X5,9999)</f>
        <v>22</v>
      </c>
      <c r="Y27" s="50" t="n">
        <f aca="false">IF(Y12&gt;0,Y5,9999)</f>
        <v>23</v>
      </c>
      <c r="Z27" s="50" t="n">
        <f aca="false">IF(Z12&gt;0,Z5,9999)</f>
        <v>24</v>
      </c>
      <c r="AA27" s="50" t="n">
        <f aca="false">IF(AA12&gt;0,AA5,9999)</f>
        <v>25</v>
      </c>
      <c r="AB27" s="50" t="n">
        <f aca="false">IF(AB12&gt;0,AB5,9999)</f>
        <v>26</v>
      </c>
      <c r="AC27" s="50" t="n">
        <f aca="false">IF(AC12&gt;0,AC5,9999)</f>
        <v>27</v>
      </c>
      <c r="AD27" s="50" t="n">
        <f aca="false">IF(AD12&gt;0,AD5,9999)</f>
        <v>28</v>
      </c>
      <c r="AE27" s="50" t="n">
        <f aca="false">IF(AE12&gt;0,AE5,9999)</f>
        <v>29</v>
      </c>
      <c r="AF27" s="50" t="n">
        <f aca="false">IF(AF12&gt;0,AF5,9999)</f>
        <v>30</v>
      </c>
      <c r="AG27" s="50" t="n">
        <f aca="false">IF(AG12&gt;0,AG5,9999)</f>
        <v>31</v>
      </c>
      <c r="AH27" s="50" t="n">
        <f aca="false">IF(AH12&gt;0,AH5,9999)</f>
        <v>32</v>
      </c>
      <c r="AI27" s="50" t="n">
        <f aca="false">IF(AI12&gt;0,AI5,9999)</f>
        <v>33</v>
      </c>
      <c r="AJ27" s="50" t="n">
        <f aca="false">IF(AJ12&gt;0,AJ5,9999)</f>
        <v>34</v>
      </c>
      <c r="AK27" s="50" t="n">
        <f aca="false">IF(AK12&gt;0,AK5,9999)</f>
        <v>35</v>
      </c>
      <c r="AL27" s="50" t="n">
        <f aca="false">IF(AL12&gt;0,AL5,9999)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11" min="3" style="0" width="12"/>
    <col collapsed="false" customWidth="true" hidden="false" outlineLevel="0" max="12" min="12" style="0" width="74"/>
  </cols>
  <sheetData>
    <row r="2" customFormat="false" ht="17.35" hidden="false" customHeight="false" outlineLevel="0" collapsed="false">
      <c r="A2" s="1" t="s">
        <v>268</v>
      </c>
    </row>
    <row r="3" customFormat="false" ht="15" hidden="false" customHeight="false" outlineLevel="0" collapsed="false">
      <c r="A3" s="2" t="s">
        <v>269</v>
      </c>
    </row>
    <row r="5" customFormat="false" ht="15" hidden="false" customHeight="false" outlineLevel="0" collapsed="false">
      <c r="A5" s="3" t="s">
        <v>270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15" hidden="false" customHeight="true" outlineLevel="0" collapsed="false">
      <c r="A6" s="8" t="s">
        <v>271</v>
      </c>
      <c r="B6" s="14" t="s">
        <v>62</v>
      </c>
      <c r="C6" s="52" t="n">
        <f aca="false">Assumptions!$F$48</f>
        <v>11.6</v>
      </c>
      <c r="L6" s="17" t="s">
        <v>272</v>
      </c>
    </row>
    <row r="7" customFormat="false" ht="21.75" hidden="false" customHeight="true" outlineLevel="0" collapsed="false">
      <c r="A7" s="8" t="s">
        <v>273</v>
      </c>
      <c r="B7" s="14" t="s">
        <v>87</v>
      </c>
      <c r="C7" s="46" t="n">
        <f aca="false">'P&amp;L'!AL31</f>
        <v>0.898518876273633</v>
      </c>
      <c r="L7" s="17" t="s">
        <v>274</v>
      </c>
    </row>
    <row r="8" customFormat="false" ht="15" hidden="false" customHeight="true" outlineLevel="0" collapsed="false">
      <c r="A8" s="8" t="s">
        <v>275</v>
      </c>
      <c r="B8" s="14" t="s">
        <v>84</v>
      </c>
      <c r="C8" s="52" t="n">
        <f aca="false">C6*C7</f>
        <v>10.4228189647741</v>
      </c>
      <c r="L8" s="17"/>
    </row>
    <row r="9" customFormat="false" ht="15" hidden="false" customHeight="true" outlineLevel="0" collapsed="false">
      <c r="A9" s="8" t="s">
        <v>150</v>
      </c>
      <c r="B9" s="14" t="s">
        <v>87</v>
      </c>
      <c r="C9" s="53" t="n">
        <f aca="false">Assumptions!$F$51</f>
        <v>0.0538571060753555</v>
      </c>
      <c r="L9" s="17"/>
    </row>
    <row r="10" customFormat="false" ht="15" hidden="false" customHeight="true" outlineLevel="0" collapsed="false">
      <c r="A10" s="8" t="s">
        <v>276</v>
      </c>
      <c r="B10" s="14" t="s">
        <v>73</v>
      </c>
      <c r="C10" s="36" t="n">
        <f aca="false">Assumptions!$F$52</f>
        <v>18.5676519380901</v>
      </c>
      <c r="L10" s="17" t="s">
        <v>153</v>
      </c>
    </row>
    <row r="11" customFormat="false" ht="15" hidden="false" customHeight="true" outlineLevel="0" collapsed="false">
      <c r="A11" s="37" t="s">
        <v>277</v>
      </c>
      <c r="B11" s="38" t="s">
        <v>84</v>
      </c>
      <c r="C11" s="45" t="n">
        <f aca="false">C8*C10</f>
        <v>193.527274751651</v>
      </c>
      <c r="L11" s="17" t="s">
        <v>278</v>
      </c>
    </row>
    <row r="13" customFormat="false" ht="15" hidden="false" customHeight="false" outlineLevel="0" collapsed="false">
      <c r="A13" s="3" t="s">
        <v>279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customFormat="false" ht="15" hidden="false" customHeight="true" outlineLevel="0" collapsed="false">
      <c r="A14" s="8" t="s">
        <v>280</v>
      </c>
      <c r="B14" s="14" t="s">
        <v>84</v>
      </c>
      <c r="C14" s="52" t="n">
        <f aca="false">Assumptions!$F$53</f>
        <v>90.9090909090909</v>
      </c>
      <c r="L14" s="17" t="s">
        <v>281</v>
      </c>
    </row>
    <row r="15" customFormat="false" ht="15" hidden="false" customHeight="true" outlineLevel="0" collapsed="false">
      <c r="A15" s="8" t="s">
        <v>282</v>
      </c>
      <c r="B15" s="14" t="s">
        <v>84</v>
      </c>
      <c r="C15" s="34" t="n">
        <f aca="false">SUM('P&amp;L'!C34:AL34)</f>
        <v>90975.310219053</v>
      </c>
      <c r="L15" s="17"/>
    </row>
    <row r="16" customFormat="false" ht="15" hidden="false" customHeight="true" outlineLevel="0" collapsed="false">
      <c r="A16" s="8" t="s">
        <v>283</v>
      </c>
      <c r="B16" s="14" t="s">
        <v>161</v>
      </c>
      <c r="C16" s="36" t="n">
        <f aca="false">SUM(Cohorts!C14:AL14)</f>
        <v>2599.5125441045</v>
      </c>
      <c r="L16" s="17"/>
    </row>
    <row r="17" customFormat="false" ht="21.75" hidden="false" customHeight="true" outlineLevel="0" collapsed="false">
      <c r="A17" s="37" t="s">
        <v>284</v>
      </c>
      <c r="B17" s="38" t="s">
        <v>84</v>
      </c>
      <c r="C17" s="54" t="n">
        <f aca="false">IF(C16=0,0,C15/C16)</f>
        <v>34.9970652864816</v>
      </c>
      <c r="L17" s="17" t="s">
        <v>285</v>
      </c>
    </row>
    <row r="19" customFormat="false" ht="15" hidden="false" customHeight="false" outlineLevel="0" collapsed="false">
      <c r="A19" s="3" t="s">
        <v>286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customFormat="false" ht="15" hidden="false" customHeight="true" outlineLevel="0" collapsed="false">
      <c r="A20" s="5" t="s">
        <v>287</v>
      </c>
      <c r="B20" s="14" t="s">
        <v>288</v>
      </c>
      <c r="C20" s="55" t="n">
        <f aca="false">IF(C14=0,0,C11/C14)</f>
        <v>2.12880002226816</v>
      </c>
      <c r="L20" s="17" t="s">
        <v>289</v>
      </c>
    </row>
    <row r="21" customFormat="false" ht="15" hidden="false" customHeight="true" outlineLevel="0" collapsed="false">
      <c r="A21" s="8" t="s">
        <v>290</v>
      </c>
      <c r="B21" s="14" t="s">
        <v>288</v>
      </c>
      <c r="C21" s="56" t="n">
        <f aca="false">IF(C17=0,0,C11/C17)</f>
        <v>5.52981437636158</v>
      </c>
      <c r="L21" s="17" t="s">
        <v>291</v>
      </c>
    </row>
    <row r="22" customFormat="false" ht="21.75" hidden="false" customHeight="true" outlineLevel="0" collapsed="false">
      <c r="A22" s="5" t="s">
        <v>292</v>
      </c>
      <c r="B22" s="14" t="s">
        <v>73</v>
      </c>
      <c r="C22" s="40" t="n">
        <f aca="false">IF(C8=0,0,C14/C8)</f>
        <v>8.72212126261956</v>
      </c>
      <c r="L22" s="17" t="s">
        <v>293</v>
      </c>
    </row>
    <row r="23" customFormat="false" ht="15" hidden="false" customHeight="true" outlineLevel="0" collapsed="false">
      <c r="A23" s="8" t="s">
        <v>294</v>
      </c>
      <c r="B23" s="14" t="s">
        <v>73</v>
      </c>
      <c r="C23" s="36" t="n">
        <f aca="false">IF(C8=0,0,C17/C8)</f>
        <v>3.35773511990957</v>
      </c>
      <c r="L23" s="17"/>
    </row>
    <row r="24" customFormat="false" ht="33" hidden="false" customHeight="true" outlineLevel="0" collapsed="false">
      <c r="A24" s="5" t="s">
        <v>295</v>
      </c>
      <c r="B24" s="14" t="s">
        <v>73</v>
      </c>
      <c r="C24" s="40" t="n">
        <f aca="false">C10-C22</f>
        <v>9.84553067547056</v>
      </c>
      <c r="L24" s="17" t="s">
        <v>296</v>
      </c>
    </row>
    <row r="27" customFormat="false" ht="15" hidden="false" customHeight="false" outlineLevel="0" collapsed="false">
      <c r="A27" s="3" t="s">
        <v>297</v>
      </c>
      <c r="B27" s="4"/>
      <c r="C27" s="4"/>
      <c r="D27" s="4"/>
      <c r="E27" s="4"/>
      <c r="F27" s="4"/>
      <c r="G27" s="4"/>
      <c r="H27" s="4"/>
      <c r="I27" s="4"/>
      <c r="J27" s="4"/>
      <c r="K27" s="4"/>
    </row>
    <row r="28" customFormat="false" ht="30" hidden="false" customHeight="true" outlineLevel="0" collapsed="false">
      <c r="A28" s="5" t="s">
        <v>298</v>
      </c>
      <c r="L28" s="17" t="s">
        <v>299</v>
      </c>
    </row>
    <row r="29" customFormat="false" ht="15" hidden="false" customHeight="false" outlineLevel="0" collapsed="false">
      <c r="D29" s="57" t="n">
        <v>0.12</v>
      </c>
      <c r="E29" s="57" t="n">
        <v>0.15</v>
      </c>
      <c r="F29" s="57" t="n">
        <v>0.18</v>
      </c>
      <c r="G29" s="57" t="n">
        <v>0.22</v>
      </c>
      <c r="H29" s="57" t="n">
        <v>0.25</v>
      </c>
      <c r="I29" s="57" t="n">
        <v>0.28</v>
      </c>
      <c r="J29" s="57" t="n">
        <v>0.32</v>
      </c>
    </row>
    <row r="30" customFormat="false" ht="15" hidden="false" customHeight="false" outlineLevel="0" collapsed="false">
      <c r="C30" s="57" t="n">
        <v>0.04</v>
      </c>
      <c r="D30" s="58" t="n">
        <f aca="false">IF(OR($C30=0,D$29=0,Assumptions!$F$19=0),0,(($C$6*$C$7)/$C30)/(Assumptions!$F$19/(Assumptions!$F$20*D$29)))</f>
        <v>1.56342284471612</v>
      </c>
      <c r="E30" s="58" t="n">
        <f aca="false">IF(OR($C30=0,E$29=0,Assumptions!$F$19=0),0,(($C$6*$C$7)/$C30)/(Assumptions!$F$19/(Assumptions!$F$20*E$29)))</f>
        <v>1.95427855589515</v>
      </c>
      <c r="F30" s="58" t="n">
        <f aca="false">IF(OR($C30=0,F$29=0,Assumptions!$F$19=0),0,(($C$6*$C$7)/$C30)/(Assumptions!$F$19/(Assumptions!$F$20*F$29)))</f>
        <v>2.34513426707418</v>
      </c>
      <c r="G30" s="58" t="n">
        <f aca="false">IF(OR($C30=0,G$29=0,Assumptions!$F$19=0),0,(($C$6*$C$7)/$C30)/(Assumptions!$F$19/(Assumptions!$F$20*G$29)))</f>
        <v>2.86627521531289</v>
      </c>
      <c r="H30" s="58" t="n">
        <f aca="false">IF(OR($C30=0,H$29=0,Assumptions!$F$19=0),0,(($C$6*$C$7)/$C30)/(Assumptions!$F$19/(Assumptions!$F$20*H$29)))</f>
        <v>3.25713092649192</v>
      </c>
      <c r="I30" s="58" t="n">
        <f aca="false">IF(OR($C30=0,I$29=0,Assumptions!$F$19=0),0,(($C$6*$C$7)/$C30)/(Assumptions!$F$19/(Assumptions!$F$20*I$29)))</f>
        <v>3.64798663767095</v>
      </c>
      <c r="J30" s="58" t="n">
        <f aca="false">IF(OR($C30=0,J$29=0,Assumptions!$F$19=0),0,(($C$6*$C$7)/$C30)/(Assumptions!$F$19/(Assumptions!$F$20*J$29)))</f>
        <v>4.16912758590966</v>
      </c>
    </row>
    <row r="31" customFormat="false" ht="15" hidden="false" customHeight="false" outlineLevel="0" collapsed="false">
      <c r="C31" s="57" t="n">
        <v>0.045</v>
      </c>
      <c r="D31" s="58" t="n">
        <f aca="false">IF(OR($C31=0,D$29=0,Assumptions!$F$19=0),0,(($C$6*$C$7)/$C31)/(Assumptions!$F$19/(Assumptions!$F$20*D$29)))</f>
        <v>1.38970919530322</v>
      </c>
      <c r="E31" s="58" t="n">
        <f aca="false">IF(OR($C31=0,E$29=0,Assumptions!$F$19=0),0,(($C$6*$C$7)/$C31)/(Assumptions!$F$19/(Assumptions!$F$20*E$29)))</f>
        <v>1.73713649412902</v>
      </c>
      <c r="F31" s="58" t="n">
        <f aca="false">IF(OR($C31=0,F$29=0,Assumptions!$F$19=0),0,(($C$6*$C$7)/$C31)/(Assumptions!$F$19/(Assumptions!$F$20*F$29)))</f>
        <v>2.08456379295483</v>
      </c>
      <c r="G31" s="58" t="n">
        <f aca="false">IF(OR($C31=0,G$29=0,Assumptions!$F$19=0),0,(($C$6*$C$7)/$C31)/(Assumptions!$F$19/(Assumptions!$F$20*G$29)))</f>
        <v>2.54780019138923</v>
      </c>
      <c r="H31" s="58" t="n">
        <f aca="false">IF(OR($C31=0,H$29=0,Assumptions!$F$19=0),0,(($C$6*$C$7)/$C31)/(Assumptions!$F$19/(Assumptions!$F$20*H$29)))</f>
        <v>2.89522749021504</v>
      </c>
      <c r="I31" s="58" t="n">
        <f aca="false">IF(OR($C31=0,I$29=0,Assumptions!$F$19=0),0,(($C$6*$C$7)/$C31)/(Assumptions!$F$19/(Assumptions!$F$20*I$29)))</f>
        <v>3.24265478904084</v>
      </c>
      <c r="J31" s="58" t="n">
        <f aca="false">IF(OR($C31=0,J$29=0,Assumptions!$F$19=0),0,(($C$6*$C$7)/$C31)/(Assumptions!$F$19/(Assumptions!$F$20*J$29)))</f>
        <v>3.70589118747525</v>
      </c>
    </row>
    <row r="32" customFormat="false" ht="15" hidden="false" customHeight="false" outlineLevel="0" collapsed="false">
      <c r="C32" s="57" t="n">
        <v>0.05</v>
      </c>
      <c r="D32" s="58" t="n">
        <f aca="false">IF(OR($C32=0,D$29=0,Assumptions!$F$19=0),0,(($C$6*$C$7)/$C32)/(Assumptions!$F$19/(Assumptions!$F$20*D$29)))</f>
        <v>1.2507382757729</v>
      </c>
      <c r="E32" s="58" t="n">
        <f aca="false">IF(OR($C32=0,E$29=0,Assumptions!$F$19=0),0,(($C$6*$C$7)/$C32)/(Assumptions!$F$19/(Assumptions!$F$20*E$29)))</f>
        <v>1.56342284471612</v>
      </c>
      <c r="F32" s="58" t="n">
        <f aca="false">IF(OR($C32=0,F$29=0,Assumptions!$F$19=0),0,(($C$6*$C$7)/$C32)/(Assumptions!$F$19/(Assumptions!$F$20*F$29)))</f>
        <v>1.87610741365935</v>
      </c>
      <c r="G32" s="58" t="n">
        <f aca="false">IF(OR($C32=0,G$29=0,Assumptions!$F$19=0),0,(($C$6*$C$7)/$C32)/(Assumptions!$F$19/(Assumptions!$F$20*G$29)))</f>
        <v>2.29302017225031</v>
      </c>
      <c r="H32" s="58" t="n">
        <f aca="false">IF(OR($C32=0,H$29=0,Assumptions!$F$19=0),0,(($C$6*$C$7)/$C32)/(Assumptions!$F$19/(Assumptions!$F$20*H$29)))</f>
        <v>2.60570474119354</v>
      </c>
      <c r="I32" s="58" t="n">
        <f aca="false">IF(OR($C32=0,I$29=0,Assumptions!$F$19=0),0,(($C$6*$C$7)/$C32)/(Assumptions!$F$19/(Assumptions!$F$20*I$29)))</f>
        <v>2.91838931013676</v>
      </c>
      <c r="J32" s="58" t="n">
        <f aca="false">IF(OR($C32=0,J$29=0,Assumptions!$F$19=0),0,(($C$6*$C$7)/$C32)/(Assumptions!$F$19/(Assumptions!$F$20*J$29)))</f>
        <v>3.33530206872773</v>
      </c>
    </row>
    <row r="33" customFormat="false" ht="15" hidden="false" customHeight="false" outlineLevel="0" collapsed="false">
      <c r="C33" s="57" t="n">
        <v>0.06</v>
      </c>
      <c r="D33" s="58" t="n">
        <f aca="false">IF(OR($C33=0,D$29=0,Assumptions!$F$19=0),0,(($C$6*$C$7)/$C33)/(Assumptions!$F$19/(Assumptions!$F$20*D$29)))</f>
        <v>1.04228189647741</v>
      </c>
      <c r="E33" s="58" t="n">
        <f aca="false">IF(OR($C33=0,E$29=0,Assumptions!$F$19=0),0,(($C$6*$C$7)/$C33)/(Assumptions!$F$19/(Assumptions!$F$20*E$29)))</f>
        <v>1.30285237059677</v>
      </c>
      <c r="F33" s="58" t="n">
        <f aca="false">IF(OR($C33=0,F$29=0,Assumptions!$F$19=0),0,(($C$6*$C$7)/$C33)/(Assumptions!$F$19/(Assumptions!$F$20*F$29)))</f>
        <v>1.56342284471612</v>
      </c>
      <c r="G33" s="58" t="n">
        <f aca="false">IF(OR($C33=0,G$29=0,Assumptions!$F$19=0),0,(($C$6*$C$7)/$C33)/(Assumptions!$F$19/(Assumptions!$F$20*G$29)))</f>
        <v>1.91085014354193</v>
      </c>
      <c r="H33" s="58" t="n">
        <f aca="false">IF(OR($C33=0,H$29=0,Assumptions!$F$19=0),0,(($C$6*$C$7)/$C33)/(Assumptions!$F$19/(Assumptions!$F$20*H$29)))</f>
        <v>2.17142061766128</v>
      </c>
      <c r="I33" s="58" t="n">
        <f aca="false">IF(OR($C33=0,I$29=0,Assumptions!$F$19=0),0,(($C$6*$C$7)/$C33)/(Assumptions!$F$19/(Assumptions!$F$20*I$29)))</f>
        <v>2.43199109178063</v>
      </c>
      <c r="J33" s="58" t="n">
        <f aca="false">IF(OR($C33=0,J$29=0,Assumptions!$F$19=0),0,(($C$6*$C$7)/$C33)/(Assumptions!$F$19/(Assumptions!$F$20*J$29)))</f>
        <v>2.77941839060644</v>
      </c>
    </row>
    <row r="34" customFormat="false" ht="15" hidden="false" customHeight="false" outlineLevel="0" collapsed="false">
      <c r="C34" s="57" t="n">
        <v>0.07</v>
      </c>
      <c r="D34" s="58" t="n">
        <f aca="false">IF(OR($C34=0,D$29=0,Assumptions!$F$19=0),0,(($C$6*$C$7)/$C34)/(Assumptions!$F$19/(Assumptions!$F$20*D$29)))</f>
        <v>0.893384482694926</v>
      </c>
      <c r="E34" s="58" t="n">
        <f aca="false">IF(OR($C34=0,E$29=0,Assumptions!$F$19=0),0,(($C$6*$C$7)/$C34)/(Assumptions!$F$19/(Assumptions!$F$20*E$29)))</f>
        <v>1.11673060336866</v>
      </c>
      <c r="F34" s="58" t="n">
        <f aca="false">IF(OR($C34=0,F$29=0,Assumptions!$F$19=0),0,(($C$6*$C$7)/$C34)/(Assumptions!$F$19/(Assumptions!$F$20*F$29)))</f>
        <v>1.34007672404239</v>
      </c>
      <c r="G34" s="58" t="n">
        <f aca="false">IF(OR($C34=0,G$29=0,Assumptions!$F$19=0),0,(($C$6*$C$7)/$C34)/(Assumptions!$F$19/(Assumptions!$F$20*G$29)))</f>
        <v>1.63787155160737</v>
      </c>
      <c r="H34" s="58" t="n">
        <f aca="false">IF(OR($C34=0,H$29=0,Assumptions!$F$19=0),0,(($C$6*$C$7)/$C34)/(Assumptions!$F$19/(Assumptions!$F$20*H$29)))</f>
        <v>1.8612176722811</v>
      </c>
      <c r="I34" s="58" t="n">
        <f aca="false">IF(OR($C34=0,I$29=0,Assumptions!$F$19=0),0,(($C$6*$C$7)/$C34)/(Assumptions!$F$19/(Assumptions!$F$20*I$29)))</f>
        <v>2.08456379295483</v>
      </c>
      <c r="J34" s="58" t="n">
        <f aca="false">IF(OR($C34=0,J$29=0,Assumptions!$F$19=0),0,(($C$6*$C$7)/$C34)/(Assumptions!$F$19/(Assumptions!$F$20*J$29)))</f>
        <v>2.3823586205198</v>
      </c>
    </row>
    <row r="35" customFormat="false" ht="15" hidden="false" customHeight="false" outlineLevel="0" collapsed="false">
      <c r="C35" s="57" t="n">
        <v>0.08</v>
      </c>
      <c r="D35" s="58" t="n">
        <f aca="false">IF(OR($C35=0,D$29=0,Assumptions!$F$19=0),0,(($C$6*$C$7)/$C35)/(Assumptions!$F$19/(Assumptions!$F$20*D$29)))</f>
        <v>0.78171142235806</v>
      </c>
      <c r="E35" s="58" t="n">
        <f aca="false">IF(OR($C35=0,E$29=0,Assumptions!$F$19=0),0,(($C$6*$C$7)/$C35)/(Assumptions!$F$19/(Assumptions!$F$20*E$29)))</f>
        <v>0.977139277947576</v>
      </c>
      <c r="F35" s="58" t="n">
        <f aca="false">IF(OR($C35=0,F$29=0,Assumptions!$F$19=0),0,(($C$6*$C$7)/$C35)/(Assumptions!$F$19/(Assumptions!$F$20*F$29)))</f>
        <v>1.17256713353709</v>
      </c>
      <c r="G35" s="58" t="n">
        <f aca="false">IF(OR($C35=0,G$29=0,Assumptions!$F$19=0),0,(($C$6*$C$7)/$C35)/(Assumptions!$F$19/(Assumptions!$F$20*G$29)))</f>
        <v>1.43313760765644</v>
      </c>
      <c r="H35" s="58" t="n">
        <f aca="false">IF(OR($C35=0,H$29=0,Assumptions!$F$19=0),0,(($C$6*$C$7)/$C35)/(Assumptions!$F$19/(Assumptions!$F$20*H$29)))</f>
        <v>1.62856546324596</v>
      </c>
      <c r="I35" s="58" t="n">
        <f aca="false">IF(OR($C35=0,I$29=0,Assumptions!$F$19=0),0,(($C$6*$C$7)/$C35)/(Assumptions!$F$19/(Assumptions!$F$20*I$29)))</f>
        <v>1.82399331883547</v>
      </c>
      <c r="J35" s="58" t="n">
        <f aca="false">IF(OR($C35=0,J$29=0,Assumptions!$F$19=0),0,(($C$6*$C$7)/$C35)/(Assumptions!$F$19/(Assumptions!$F$20*J$29)))</f>
        <v>2.08456379295483</v>
      </c>
    </row>
    <row r="36" customFormat="false" ht="15" hidden="false" customHeight="false" outlineLevel="0" collapsed="false">
      <c r="C36" s="57" t="n">
        <v>0.09</v>
      </c>
      <c r="D36" s="58" t="n">
        <f aca="false">IF(OR($C36=0,D$29=0,Assumptions!$F$19=0),0,(($C$6*$C$7)/$C36)/(Assumptions!$F$19/(Assumptions!$F$20*D$29)))</f>
        <v>0.694854597651609</v>
      </c>
      <c r="E36" s="58" t="n">
        <f aca="false">IF(OR($C36=0,E$29=0,Assumptions!$F$19=0),0,(($C$6*$C$7)/$C36)/(Assumptions!$F$19/(Assumptions!$F$20*E$29)))</f>
        <v>0.868568247064512</v>
      </c>
      <c r="F36" s="58" t="n">
        <f aca="false">IF(OR($C36=0,F$29=0,Assumptions!$F$19=0),0,(($C$6*$C$7)/$C36)/(Assumptions!$F$19/(Assumptions!$F$20*F$29)))</f>
        <v>1.04228189647741</v>
      </c>
      <c r="G36" s="58" t="n">
        <f aca="false">IF(OR($C36=0,G$29=0,Assumptions!$F$19=0),0,(($C$6*$C$7)/$C36)/(Assumptions!$F$19/(Assumptions!$F$20*G$29)))</f>
        <v>1.27390009569462</v>
      </c>
      <c r="H36" s="58" t="n">
        <f aca="false">IF(OR($C36=0,H$29=0,Assumptions!$F$19=0),0,(($C$6*$C$7)/$C36)/(Assumptions!$F$19/(Assumptions!$F$20*H$29)))</f>
        <v>1.44761374510752</v>
      </c>
      <c r="I36" s="58" t="n">
        <f aca="false">IF(OR($C36=0,I$29=0,Assumptions!$F$19=0),0,(($C$6*$C$7)/$C36)/(Assumptions!$F$19/(Assumptions!$F$20*I$29)))</f>
        <v>1.62132739452042</v>
      </c>
      <c r="J36" s="58" t="n">
        <f aca="false">IF(OR($C36=0,J$29=0,Assumptions!$F$19=0),0,(($C$6*$C$7)/$C36)/(Assumptions!$F$19/(Assumptions!$F$20*J$29)))</f>
        <v>1.85294559373763</v>
      </c>
    </row>
    <row r="39" customFormat="false" ht="15" hidden="false" customHeight="false" outlineLevel="0" collapsed="false">
      <c r="A39" s="3" t="s">
        <v>300</v>
      </c>
      <c r="B39" s="4"/>
      <c r="C39" s="4"/>
      <c r="D39" s="4"/>
      <c r="E39" s="4"/>
      <c r="F39" s="4"/>
      <c r="G39" s="4"/>
      <c r="H39" s="4"/>
      <c r="I39" s="4"/>
      <c r="J39" s="4"/>
      <c r="K39" s="4"/>
    </row>
    <row r="40" customFormat="false" ht="30" hidden="false" customHeight="true" outlineLevel="0" collapsed="false">
      <c r="A40" s="5" t="s">
        <v>301</v>
      </c>
      <c r="L40" s="17" t="s">
        <v>302</v>
      </c>
    </row>
    <row r="41" customFormat="false" ht="15" hidden="false" customHeight="false" outlineLevel="0" collapsed="false">
      <c r="D41" s="57" t="n">
        <v>0.12</v>
      </c>
      <c r="E41" s="57" t="n">
        <v>0.15</v>
      </c>
      <c r="F41" s="57" t="n">
        <v>0.18</v>
      </c>
      <c r="G41" s="57" t="n">
        <v>0.22</v>
      </c>
      <c r="H41" s="57" t="n">
        <v>0.25</v>
      </c>
      <c r="I41" s="57" t="n">
        <v>0.28</v>
      </c>
      <c r="J41" s="57" t="n">
        <v>0.32</v>
      </c>
    </row>
    <row r="42" customFormat="false" ht="15" hidden="false" customHeight="false" outlineLevel="0" collapsed="false">
      <c r="C42" s="59" t="n">
        <v>0.4</v>
      </c>
      <c r="D42" s="60" t="n">
        <f aca="false">IF(OR(D$41=0,$C$6*$C$7=0),0,($C42/(Assumptions!$F$20*D$41))/($C$6*$C$7))</f>
        <v>7.99527782406793</v>
      </c>
      <c r="E42" s="60" t="n">
        <f aca="false">IF(OR(E$41=0,$C$6*$C$7=0),0,($C42/(Assumptions!$F$20*E$41))/($C$6*$C$7))</f>
        <v>6.39622225925434</v>
      </c>
      <c r="F42" s="60" t="n">
        <f aca="false">IF(OR(F$41=0,$C$6*$C$7=0),0,($C42/(Assumptions!$F$20*F$41))/($C$6*$C$7))</f>
        <v>5.33018521604529</v>
      </c>
      <c r="G42" s="60" t="n">
        <f aca="false">IF(OR(G$41=0,$C$6*$C$7=0),0,($C42/(Assumptions!$F$20*G$41))/($C$6*$C$7))</f>
        <v>4.36106063130978</v>
      </c>
      <c r="H42" s="60" t="n">
        <f aca="false">IF(OR(H$41=0,$C$6*$C$7=0),0,($C42/(Assumptions!$F$20*H$41))/($C$6*$C$7))</f>
        <v>3.83773335555261</v>
      </c>
      <c r="I42" s="60" t="n">
        <f aca="false">IF(OR(I$41=0,$C$6*$C$7=0),0,($C42/(Assumptions!$F$20*I$41))/($C$6*$C$7))</f>
        <v>3.42654763888625</v>
      </c>
      <c r="J42" s="60" t="n">
        <f aca="false">IF(OR(J$41=0,$C$6*$C$7=0),0,($C42/(Assumptions!$F$20*J$41))/($C$6*$C$7))</f>
        <v>2.99822918402547</v>
      </c>
    </row>
    <row r="43" customFormat="false" ht="15" hidden="false" customHeight="false" outlineLevel="0" collapsed="false">
      <c r="C43" s="59" t="n">
        <v>0.6</v>
      </c>
      <c r="D43" s="60" t="n">
        <f aca="false">IF(OR(D$41=0,$C$6*$C$7=0),0,($C43/(Assumptions!$F$20*D$41))/($C$6*$C$7))</f>
        <v>11.9929167361019</v>
      </c>
      <c r="E43" s="60" t="n">
        <f aca="false">IF(OR(E$41=0,$C$6*$C$7=0),0,($C43/(Assumptions!$F$20*E$41))/($C$6*$C$7))</f>
        <v>9.59433338888151</v>
      </c>
      <c r="F43" s="60" t="n">
        <f aca="false">IF(OR(F$41=0,$C$6*$C$7=0),0,($C43/(Assumptions!$F$20*F$41))/($C$6*$C$7))</f>
        <v>7.99527782406793</v>
      </c>
      <c r="G43" s="60" t="n">
        <f aca="false">IF(OR(G$41=0,$C$6*$C$7=0),0,($C43/(Assumptions!$F$20*G$41))/($C$6*$C$7))</f>
        <v>6.54159094696467</v>
      </c>
      <c r="H43" s="60" t="n">
        <f aca="false">IF(OR(H$41=0,$C$6*$C$7=0),0,($C43/(Assumptions!$F$20*H$41))/($C$6*$C$7))</f>
        <v>5.75660003332891</v>
      </c>
      <c r="I43" s="60" t="n">
        <f aca="false">IF(OR(I$41=0,$C$6*$C$7=0),0,($C43/(Assumptions!$F$20*I$41))/($C$6*$C$7))</f>
        <v>5.13982145832938</v>
      </c>
      <c r="J43" s="60" t="n">
        <f aca="false">IF(OR(J$41=0,$C$6*$C$7=0),0,($C43/(Assumptions!$F$20*J$41))/($C$6*$C$7))</f>
        <v>4.49734377603821</v>
      </c>
    </row>
    <row r="44" customFormat="false" ht="15" hidden="false" customHeight="false" outlineLevel="0" collapsed="false">
      <c r="C44" s="59" t="n">
        <v>0.8</v>
      </c>
      <c r="D44" s="60" t="n">
        <f aca="false">IF(OR(D$41=0,$C$6*$C$7=0),0,($C44/(Assumptions!$F$20*D$41))/($C$6*$C$7))</f>
        <v>15.9905556481359</v>
      </c>
      <c r="E44" s="60" t="n">
        <f aca="false">IF(OR(E$41=0,$C$6*$C$7=0),0,($C44/(Assumptions!$F$20*E$41))/($C$6*$C$7))</f>
        <v>12.7924445185087</v>
      </c>
      <c r="F44" s="60" t="n">
        <f aca="false">IF(OR(F$41=0,$C$6*$C$7=0),0,($C44/(Assumptions!$F$20*F$41))/($C$6*$C$7))</f>
        <v>10.6603704320906</v>
      </c>
      <c r="G44" s="60" t="n">
        <f aca="false">IF(OR(G$41=0,$C$6*$C$7=0),0,($C44/(Assumptions!$F$20*G$41))/($C$6*$C$7))</f>
        <v>8.72212126261956</v>
      </c>
      <c r="H44" s="60" t="n">
        <f aca="false">IF(OR(H$41=0,$C$6*$C$7=0),0,($C44/(Assumptions!$F$20*H$41))/($C$6*$C$7))</f>
        <v>7.67546671110521</v>
      </c>
      <c r="I44" s="60" t="n">
        <f aca="false">IF(OR(I$41=0,$C$6*$C$7=0),0,($C44/(Assumptions!$F$20*I$41))/($C$6*$C$7))</f>
        <v>6.85309527777251</v>
      </c>
      <c r="J44" s="60" t="n">
        <f aca="false">IF(OR(J$41=0,$C$6*$C$7=0),0,($C44/(Assumptions!$F$20*J$41))/($C$6*$C$7))</f>
        <v>5.99645836805095</v>
      </c>
    </row>
    <row r="45" customFormat="false" ht="15" hidden="false" customHeight="false" outlineLevel="0" collapsed="false">
      <c r="C45" s="59" t="n">
        <v>1</v>
      </c>
      <c r="D45" s="60" t="n">
        <f aca="false">IF(OR(D$41=0,$C$6*$C$7=0),0,($C45/(Assumptions!$F$20*D$41))/($C$6*$C$7))</f>
        <v>19.9881945601698</v>
      </c>
      <c r="E45" s="60" t="n">
        <f aca="false">IF(OR(E$41=0,$C$6*$C$7=0),0,($C45/(Assumptions!$F$20*E$41))/($C$6*$C$7))</f>
        <v>15.9905556481359</v>
      </c>
      <c r="F45" s="60" t="n">
        <f aca="false">IF(OR(F$41=0,$C$6*$C$7=0),0,($C45/(Assumptions!$F$20*F$41))/($C$6*$C$7))</f>
        <v>13.3254630401132</v>
      </c>
      <c r="G45" s="60" t="n">
        <f aca="false">IF(OR(G$41=0,$C$6*$C$7=0),0,($C45/(Assumptions!$F$20*G$41))/($C$6*$C$7))</f>
        <v>10.9026515782744</v>
      </c>
      <c r="H45" s="60" t="n">
        <f aca="false">IF(OR(H$41=0,$C$6*$C$7=0),0,($C45/(Assumptions!$F$20*H$41))/($C$6*$C$7))</f>
        <v>9.59433338888151</v>
      </c>
      <c r="I45" s="60" t="n">
        <f aca="false">IF(OR(I$41=0,$C$6*$C$7=0),0,($C45/(Assumptions!$F$20*I$41))/($C$6*$C$7))</f>
        <v>8.56636909721564</v>
      </c>
      <c r="J45" s="60" t="n">
        <f aca="false">IF(OR(J$41=0,$C$6*$C$7=0),0,($C45/(Assumptions!$F$20*J$41))/($C$6*$C$7))</f>
        <v>7.49557296006368</v>
      </c>
    </row>
    <row r="46" customFormat="false" ht="15" hidden="false" customHeight="false" outlineLevel="0" collapsed="false">
      <c r="C46" s="59" t="n">
        <v>1.2</v>
      </c>
      <c r="D46" s="60" t="n">
        <f aca="false">IF(OR(D$41=0,$C$6*$C$7=0),0,($C46/(Assumptions!$F$20*D$41))/($C$6*$C$7))</f>
        <v>23.9858334722038</v>
      </c>
      <c r="E46" s="60" t="n">
        <f aca="false">IF(OR(E$41=0,$C$6*$C$7=0),0,($C46/(Assumptions!$F$20*E$41))/($C$6*$C$7))</f>
        <v>19.188666777763</v>
      </c>
      <c r="F46" s="60" t="n">
        <f aca="false">IF(OR(F$41=0,$C$6*$C$7=0),0,($C46/(Assumptions!$F$20*F$41))/($C$6*$C$7))</f>
        <v>15.9905556481359</v>
      </c>
      <c r="G46" s="60" t="n">
        <f aca="false">IF(OR(G$41=0,$C$6*$C$7=0),0,($C46/(Assumptions!$F$20*G$41))/($C$6*$C$7))</f>
        <v>13.0831818939293</v>
      </c>
      <c r="H46" s="60" t="n">
        <f aca="false">IF(OR(H$41=0,$C$6*$C$7=0),0,($C46/(Assumptions!$F$20*H$41))/($C$6*$C$7))</f>
        <v>11.5132000666578</v>
      </c>
      <c r="I46" s="60" t="n">
        <f aca="false">IF(OR(I$41=0,$C$6*$C$7=0),0,($C46/(Assumptions!$F$20*I$41))/($C$6*$C$7))</f>
        <v>10.2796429166588</v>
      </c>
      <c r="J46" s="60" t="n">
        <f aca="false">IF(OR(J$41=0,$C$6*$C$7=0),0,($C46/(Assumptions!$F$20*J$41))/($C$6*$C$7))</f>
        <v>8.99468755207642</v>
      </c>
    </row>
    <row r="47" customFormat="false" ht="15" hidden="false" customHeight="false" outlineLevel="0" collapsed="false">
      <c r="C47" s="59" t="n">
        <v>1.5</v>
      </c>
      <c r="D47" s="60" t="n">
        <f aca="false">IF(OR(D$41=0,$C$6*$C$7=0),0,($C47/(Assumptions!$F$20*D$41))/($C$6*$C$7))</f>
        <v>29.9822918402547</v>
      </c>
      <c r="E47" s="60" t="n">
        <f aca="false">IF(OR(E$41=0,$C$6*$C$7=0),0,($C47/(Assumptions!$F$20*E$41))/($C$6*$C$7))</f>
        <v>23.9858334722038</v>
      </c>
      <c r="F47" s="60" t="n">
        <f aca="false">IF(OR(F$41=0,$C$6*$C$7=0),0,($C47/(Assumptions!$F$20*F$41))/($C$6*$C$7))</f>
        <v>19.9881945601698</v>
      </c>
      <c r="G47" s="60" t="n">
        <f aca="false">IF(OR(G$41=0,$C$6*$C$7=0),0,($C47/(Assumptions!$F$20*G$41))/($C$6*$C$7))</f>
        <v>16.3539773674117</v>
      </c>
      <c r="H47" s="60" t="n">
        <f aca="false">IF(OR(H$41=0,$C$6*$C$7=0),0,($C47/(Assumptions!$F$20*H$41))/($C$6*$C$7))</f>
        <v>14.3915000833223</v>
      </c>
      <c r="I47" s="60" t="n">
        <f aca="false">IF(OR(I$41=0,$C$6*$C$7=0),0,($C47/(Assumptions!$F$20*I$41))/($C$6*$C$7))</f>
        <v>12.8495536458235</v>
      </c>
      <c r="J47" s="60" t="n">
        <f aca="false">IF(OR(J$41=0,$C$6*$C$7=0),0,($C47/(Assumptions!$F$20*J$41))/($C$6*$C$7))</f>
        <v>11.2433594400955</v>
      </c>
    </row>
    <row r="48" customFormat="false" ht="15" hidden="false" customHeight="false" outlineLevel="0" collapsed="false">
      <c r="C48" s="59" t="n">
        <v>2</v>
      </c>
      <c r="D48" s="60" t="n">
        <f aca="false">IF(OR(D$41=0,$C$6*$C$7=0),0,($C48/(Assumptions!$F$20*D$41))/($C$6*$C$7))</f>
        <v>39.9763891203397</v>
      </c>
      <c r="E48" s="60" t="n">
        <f aca="false">IF(OR(E$41=0,$C$6*$C$7=0),0,($C48/(Assumptions!$F$20*E$41))/($C$6*$C$7))</f>
        <v>31.9811112962717</v>
      </c>
      <c r="F48" s="60" t="n">
        <f aca="false">IF(OR(F$41=0,$C$6*$C$7=0),0,($C48/(Assumptions!$F$20*F$41))/($C$6*$C$7))</f>
        <v>26.6509260802264</v>
      </c>
      <c r="G48" s="60" t="n">
        <f aca="false">IF(OR(G$41=0,$C$6*$C$7=0),0,($C48/(Assumptions!$F$20*G$41))/($C$6*$C$7))</f>
        <v>21.8053031565489</v>
      </c>
      <c r="H48" s="60" t="n">
        <f aca="false">IF(OR(H$41=0,$C$6*$C$7=0),0,($C48/(Assumptions!$F$20*H$41))/($C$6*$C$7))</f>
        <v>19.188666777763</v>
      </c>
      <c r="I48" s="60" t="n">
        <f aca="false">IF(OR(I$41=0,$C$6*$C$7=0),0,($C48/(Assumptions!$F$20*I$41))/($C$6*$C$7))</f>
        <v>17.1327381944313</v>
      </c>
      <c r="J48" s="60" t="n">
        <f aca="false">IF(OR(J$41=0,$C$6*$C$7=0),0,($C48/(Assumptions!$F$20*J$41))/($C$6*$C$7))</f>
        <v>14.9911459201274</v>
      </c>
    </row>
  </sheetData>
  <conditionalFormatting sqref="D30:J36">
    <cfRule type="cellIs" priority="2" operator="greaterThanOrEqual" aboveAverage="0" equalAverage="0" bottom="0" percent="0" rank="0" text="" dxfId="0">
      <formula>3</formula>
    </cfRule>
    <cfRule type="cellIs" priority="3" operator="between" aboveAverage="0" equalAverage="0" bottom="0" percent="0" rank="0" text="" dxfId="1">
      <formula>2</formula>
      <formula>3</formula>
    </cfRule>
    <cfRule type="cellIs" priority="4" operator="lessThan" aboveAverage="0" equalAverage="0" bottom="0" percent="0" rank="0" text="" dxfId="2">
      <formula>2</formula>
    </cfRule>
  </conditionalFormatting>
  <conditionalFormatting sqref="D42:J48">
    <cfRule type="cellIs" priority="5" operator="lessThanOrEqual" aboveAverage="0" equalAverage="0" bottom="0" percent="0" rank="0" text="" dxfId="0">
      <formula>$C$10*0.4</formula>
    </cfRule>
    <cfRule type="cellIs" priority="6" operator="greaterThan" aboveAverage="0" equalAverage="0" bottom="0" percent="0" rank="0" text="" dxfId="2">
      <formula>$C$10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72"/>
  </cols>
  <sheetData>
    <row r="2" customFormat="false" ht="17.35" hidden="false" customHeight="false" outlineLevel="0" collapsed="false">
      <c r="B2" s="1" t="s">
        <v>303</v>
      </c>
    </row>
    <row r="3" customFormat="false" ht="15" hidden="false" customHeight="false" outlineLevel="0" collapsed="false">
      <c r="B3" s="2" t="s">
        <v>304</v>
      </c>
    </row>
    <row r="5" customFormat="false" ht="15" hidden="false" customHeight="false" outlineLevel="0" collapsed="false">
      <c r="B5" s="5" t="s">
        <v>52</v>
      </c>
      <c r="C5" s="61" t="str">
        <f aca="false">Assumptions!B6</f>
        <v>Base</v>
      </c>
    </row>
    <row r="7" customFormat="false" ht="15" hidden="false" customHeight="false" outlineLevel="0" collapsed="false">
      <c r="B7" s="3" t="s">
        <v>305</v>
      </c>
      <c r="C7" s="4"/>
      <c r="D7" s="4"/>
      <c r="E7" s="4"/>
    </row>
    <row r="8" customFormat="false" ht="15" hidden="false" customHeight="true" outlineLevel="0" collapsed="false">
      <c r="B8" s="8" t="s">
        <v>306</v>
      </c>
      <c r="C8" s="62" t="n">
        <f aca="false">Cohorts!AL21</f>
        <v>1703.3871681363</v>
      </c>
      <c r="E8" s="17"/>
    </row>
    <row r="9" customFormat="false" ht="15" hidden="false" customHeight="true" outlineLevel="0" collapsed="false">
      <c r="B9" s="8" t="s">
        <v>307</v>
      </c>
      <c r="C9" s="63" t="n">
        <f aca="false">'P&amp;L'!AL18</f>
        <v>19527.2068524683</v>
      </c>
      <c r="E9" s="17"/>
    </row>
    <row r="10" customFormat="false" ht="15" hidden="false" customHeight="true" outlineLevel="0" collapsed="false">
      <c r="B10" s="5" t="s">
        <v>231</v>
      </c>
      <c r="C10" s="64" t="n">
        <f aca="false">'P&amp;L'!AL19</f>
        <v>234326.48222962</v>
      </c>
      <c r="E10" s="17" t="s">
        <v>308</v>
      </c>
    </row>
    <row r="11" customFormat="false" ht="15" hidden="false" customHeight="true" outlineLevel="0" collapsed="false">
      <c r="B11" s="8" t="s">
        <v>239</v>
      </c>
      <c r="C11" s="65" t="n">
        <f aca="false">'P&amp;L'!AL31</f>
        <v>0.898518876273633</v>
      </c>
      <c r="E11" s="17"/>
    </row>
    <row r="12" customFormat="false" ht="15" hidden="false" customHeight="true" outlineLevel="0" collapsed="false">
      <c r="B12" s="8" t="s">
        <v>309</v>
      </c>
      <c r="C12" s="63" t="n">
        <f aca="false">SUM('P&amp;L'!C18:AL18)</f>
        <v>233772.266286481</v>
      </c>
      <c r="E12" s="17"/>
    </row>
    <row r="13" customFormat="false" ht="15" hidden="false" customHeight="true" outlineLevel="0" collapsed="false">
      <c r="B13" s="8" t="s">
        <v>310</v>
      </c>
      <c r="C13" s="63" t="n">
        <f aca="false">SUM('P&amp;L'!C12:AL12)</f>
        <v>261628.021377757</v>
      </c>
      <c r="E13" s="17" t="s">
        <v>311</v>
      </c>
    </row>
    <row r="15" customFormat="false" ht="15" hidden="false" customHeight="false" outlineLevel="0" collapsed="false">
      <c r="B15" s="3" t="s">
        <v>312</v>
      </c>
      <c r="C15" s="4"/>
      <c r="D15" s="4"/>
      <c r="E15" s="4"/>
    </row>
    <row r="16" customFormat="false" ht="15" hidden="false" customHeight="true" outlineLevel="0" collapsed="false">
      <c r="B16" s="5" t="s">
        <v>313</v>
      </c>
      <c r="C16" s="64" t="n">
        <f aca="false">'P&amp;L'!AL42</f>
        <v>49272.6582733882</v>
      </c>
      <c r="E16" s="17"/>
    </row>
    <row r="17" customFormat="false" ht="15" hidden="false" customHeight="true" outlineLevel="0" collapsed="false">
      <c r="B17" s="5" t="s">
        <v>314</v>
      </c>
      <c r="C17" s="66" t="n">
        <f aca="false">IF(MIN('P&amp;L'!C44:AL44)&gt;36,"none in 36m",MIN('P&amp;L'!C44:AL44))</f>
        <v>10</v>
      </c>
      <c r="E17" s="17" t="s">
        <v>315</v>
      </c>
    </row>
    <row r="18" customFormat="false" ht="15" hidden="false" customHeight="true" outlineLevel="0" collapsed="false">
      <c r="B18" s="8" t="s">
        <v>316</v>
      </c>
      <c r="C18" s="67" t="n">
        <f aca="false">IF(MIN('Cash Flow'!C27:AL27)&gt;36,"none in 36m",MIN('Cash Flow'!C27:AL27))</f>
        <v>7</v>
      </c>
      <c r="E18" s="17" t="s">
        <v>317</v>
      </c>
    </row>
    <row r="19" customFormat="false" ht="15" hidden="false" customHeight="true" outlineLevel="0" collapsed="false">
      <c r="B19" s="8" t="s">
        <v>318</v>
      </c>
      <c r="C19" s="63" t="n">
        <f aca="false">MIN('Cash Flow'!C13:AL13)</f>
        <v>-717.89769534249</v>
      </c>
      <c r="E19" s="17"/>
    </row>
    <row r="20" customFormat="false" ht="21.75" hidden="false" customHeight="true" outlineLevel="0" collapsed="false">
      <c r="B20" s="5" t="s">
        <v>319</v>
      </c>
      <c r="C20" s="64" t="n">
        <f aca="false">MAX(0,-MIN('Cash Flow'!C13:AL13))</f>
        <v>717.89769534249</v>
      </c>
      <c r="E20" s="17" t="s">
        <v>320</v>
      </c>
    </row>
    <row r="21" customFormat="false" ht="15" hidden="false" customHeight="true" outlineLevel="0" collapsed="false">
      <c r="B21" s="8" t="s">
        <v>321</v>
      </c>
      <c r="C21" s="63" t="n">
        <f aca="false">'Cash Flow'!AL13</f>
        <v>82128.4133646642</v>
      </c>
      <c r="E21" s="17"/>
    </row>
    <row r="22" customFormat="false" ht="15" hidden="false" customHeight="true" outlineLevel="0" collapsed="false">
      <c r="B22" s="8" t="s">
        <v>322</v>
      </c>
      <c r="C22" s="63" t="n">
        <f aca="false">'Cash Flow'!AL19</f>
        <v>27855.755091276</v>
      </c>
      <c r="E22" s="17" t="s">
        <v>323</v>
      </c>
    </row>
    <row r="24" customFormat="false" ht="15" hidden="false" customHeight="false" outlineLevel="0" collapsed="false">
      <c r="B24" s="3" t="s">
        <v>268</v>
      </c>
      <c r="C24" s="4"/>
      <c r="D24" s="4"/>
      <c r="E24" s="4"/>
    </row>
    <row r="25" customFormat="false" ht="15" hidden="false" customHeight="true" outlineLevel="0" collapsed="false">
      <c r="B25" s="8" t="s">
        <v>277</v>
      </c>
      <c r="C25" s="63" t="n">
        <f aca="false">'Unit Economics'!C11</f>
        <v>193.527274751651</v>
      </c>
      <c r="E25" s="17"/>
    </row>
    <row r="26" customFormat="false" ht="15" hidden="false" customHeight="true" outlineLevel="0" collapsed="false">
      <c r="B26" s="8" t="s">
        <v>324</v>
      </c>
      <c r="C26" s="68" t="n">
        <f aca="false">'Unit Economics'!C14</f>
        <v>90.9090909090909</v>
      </c>
      <c r="E26" s="17"/>
    </row>
    <row r="27" customFormat="false" ht="15" hidden="false" customHeight="true" outlineLevel="0" collapsed="false">
      <c r="B27" s="5" t="s">
        <v>325</v>
      </c>
      <c r="C27" s="69" t="n">
        <f aca="false">'Unit Economics'!C20</f>
        <v>2.12880002226816</v>
      </c>
      <c r="E27" s="17" t="s">
        <v>326</v>
      </c>
    </row>
    <row r="28" customFormat="false" ht="15" hidden="false" customHeight="true" outlineLevel="0" collapsed="false">
      <c r="B28" s="8" t="s">
        <v>327</v>
      </c>
      <c r="C28" s="60" t="n">
        <f aca="false">'Unit Economics'!C22</f>
        <v>8.72212126261956</v>
      </c>
      <c r="E28" s="17" t="s">
        <v>328</v>
      </c>
    </row>
    <row r="29" customFormat="false" ht="15" hidden="false" customHeight="true" outlineLevel="0" collapsed="false">
      <c r="B29" s="8" t="s">
        <v>276</v>
      </c>
      <c r="C29" s="60" t="n">
        <f aca="false">'Unit Economics'!C10</f>
        <v>18.5676519380901</v>
      </c>
      <c r="E29" s="17" t="s">
        <v>329</v>
      </c>
    </row>
    <row r="30" customFormat="false" ht="15" hidden="false" customHeight="true" outlineLevel="0" collapsed="false">
      <c r="B30" s="8" t="s">
        <v>295</v>
      </c>
      <c r="C30" s="60" t="n">
        <f aca="false">'Unit Economics'!C24</f>
        <v>9.84553067547056</v>
      </c>
      <c r="E30" s="17" t="s">
        <v>330</v>
      </c>
    </row>
    <row r="32" customFormat="false" ht="15" hidden="false" customHeight="false" outlineLevel="0" collapsed="false">
      <c r="B32" s="3" t="s">
        <v>331</v>
      </c>
      <c r="C32" s="4"/>
      <c r="D32" s="4"/>
      <c r="E32" s="4"/>
    </row>
    <row r="33" customFormat="false" ht="33" hidden="false" customHeight="true" outlineLevel="0" collapsed="false">
      <c r="B33" s="5" t="s">
        <v>332</v>
      </c>
      <c r="C33" s="64" t="n">
        <f aca="false">NPV(Assumptions!$F$54,'Cash Flow'!C12:AL12)</f>
        <v>42143.4584397466</v>
      </c>
      <c r="E33" s="17" t="s">
        <v>333</v>
      </c>
    </row>
    <row r="34" customFormat="false" ht="21.75" hidden="false" customHeight="true" outlineLevel="0" collapsed="false">
      <c r="B34" s="5" t="s">
        <v>334</v>
      </c>
      <c r="C34" s="70" t="n">
        <f aca="false">SUM('Cash Flow'!C24:AL24)</f>
        <v>0</v>
      </c>
      <c r="E34" s="17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2026-07-16T23:47:40Z</dcterms:created>
  <dc:creator>openpyxl</dc:creator>
  <dc:description/>
  <dc:language>en-US</dc:language>
  <cp:lastModifiedBy/>
  <dcterms:modified xsi:type="dcterms:W3CDTF">2026-07-16T23:47:43Z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